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R1 Chunk-level" sheetId="2" state="visible" r:id="rId2"/>
    <sheet name="R1 Doc Aggregate" sheetId="3" state="visible" r:id="rId3"/>
    <sheet name="R1 Chunk Dominant" sheetId="4" state="visible" r:id="rId4"/>
    <sheet name="R1 Agreement" sheetId="5" state="visible" r:id="rId5"/>
    <sheet name="R2 Chunk-level" sheetId="6" state="visible" r:id="rId6"/>
    <sheet name="R2 Doc Aggregate" sheetId="7" state="visible" r:id="rId7"/>
    <sheet name="R2 Chunk Dominant" sheetId="8" state="visible" r:id="rId8"/>
    <sheet name="R2 Agreement" sheetId="9" state="visible" r:id="rId9"/>
    <sheet name="R3 Chunk-level" sheetId="10" state="visible" r:id="rId10"/>
    <sheet name="R3 Doc Aggregate" sheetId="11" state="visible" r:id="rId11"/>
    <sheet name="R3 Chunk Dominant" sheetId="12" state="visible" r:id="rId12"/>
    <sheet name="R3 Agreement" sheetId="13" state="visible" r:id="rId13"/>
    <sheet name="Report Key" sheetId="14" state="visible" r:id="rId14"/>
    <sheet name="Pooled Agreement" sheetId="15" state="visible" r:id="rId15"/>
    <sheet name="Flexible Agreement" sheetId="16" state="visible" r:id="rId16"/>
    <sheet name="Report Profile" sheetId="17" state="visible" r:id="rId17"/>
  </sheets>
  <definedNames/>
  <calcPr calcId="124519" fullCalcOnLoad="1"/>
</workbook>
</file>

<file path=xl/styles.xml><?xml version="1.0" encoding="utf-8"?>
<styleSheet xmlns="http://schemas.openxmlformats.org/spreadsheetml/2006/main">
  <numFmts count="1">
    <numFmt numFmtId="164" formatCode="0.0%"/>
  </numFmts>
  <fonts count="8">
    <font>
      <name val="Calibri"/>
      <family val="2"/>
      <color theme="1"/>
      <sz val="11"/>
      <scheme val="minor"/>
    </font>
    <font>
      <name val="Arial"/>
      <b val="1"/>
      <color rgb="00FFFFFF"/>
      <sz val="11"/>
    </font>
    <font>
      <name val="Arial"/>
      <b val="1"/>
      <sz val="16"/>
    </font>
    <font>
      <name val="Arial"/>
      <sz val="10.5"/>
    </font>
    <font>
      <name val="Arial"/>
      <b val="1"/>
      <sz val="11"/>
    </font>
    <font>
      <name val="Arial"/>
      <i val="1"/>
      <color rgb="00666666"/>
      <sz val="10"/>
    </font>
    <font>
      <name val="Arial"/>
      <i val="1"/>
      <color rgb="00777777"/>
      <sz val="9"/>
    </font>
    <font>
      <name val="Arial"/>
      <b val="1"/>
      <sz val="12"/>
    </font>
  </fonts>
  <fills count="3">
    <fill>
      <patternFill/>
    </fill>
    <fill>
      <patternFill patternType="gray125"/>
    </fill>
    <fill>
      <patternFill patternType="solid">
        <fgColor rgb="002F3B2A"/>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1">
    <xf numFmtId="0" fontId="0" fillId="0" borderId="0" pivotButton="0" quotePrefix="0" xfId="0"/>
    <xf numFmtId="0" fontId="2" fillId="0" borderId="0" pivotButton="0" quotePrefix="0" xfId="0"/>
    <xf numFmtId="0" fontId="5" fillId="0" borderId="0" pivotButton="0" quotePrefix="0" xfId="0"/>
    <xf numFmtId="0" fontId="4" fillId="0" borderId="0" pivotButton="0" quotePrefix="0" xfId="0"/>
    <xf numFmtId="0" fontId="3" fillId="0" borderId="0" pivotButton="0" quotePrefix="0" xfId="0"/>
    <xf numFmtId="0" fontId="3" fillId="0" borderId="0" applyAlignment="1" pivotButton="0" quotePrefix="0" xfId="0">
      <alignment vertical="top" wrapText="1"/>
    </xf>
    <xf numFmtId="0" fontId="1" fillId="2" borderId="1" applyAlignment="1" pivotButton="0" quotePrefix="0" xfId="0">
      <alignment horizontal="center" vertical="center" wrapText="1"/>
    </xf>
    <xf numFmtId="164" fontId="0" fillId="0" borderId="0" pivotButton="0" quotePrefix="0" xfId="0"/>
    <xf numFmtId="0" fontId="7" fillId="0" borderId="0" pivotButton="0" quotePrefix="0" xfId="0"/>
    <xf numFmtId="0" fontId="6" fillId="0" borderId="0" pivotButton="0" quotePrefix="0" xfId="0"/>
    <xf numFmtId="164"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styles" Target="styles.xml" Id="rId18" /><Relationship Type="http://schemas.openxmlformats.org/officeDocument/2006/relationships/theme" Target="theme/theme1.xml" Id="rId19" /></Relationships>
</file>

<file path=xl/charts/chart1.xml><?xml version="1.0" encoding="utf-8"?>
<chartSpace xmlns:a="http://schemas.openxmlformats.org/drawingml/2006/main" xmlns="http://schemas.openxmlformats.org/drawingml/2006/chart">
  <chart>
    <title>
      <tx>
        <rich>
          <a:bodyPr/>
          <a:p>
            <a:pPr>
              <a:defRPr/>
            </a:pPr>
            <a:r>
              <a:t>Chunk-level standard (nominal) kappa, per report and pooled</a:t>
            </a:r>
          </a:p>
        </rich>
      </tx>
    </title>
    <plotArea>
      <barChart>
        <barDir val="col"/>
        <grouping val="clustered"/>
        <ser>
          <idx val="0"/>
          <order val="0"/>
          <tx>
            <strRef>
              <f>'Overview'!D15</f>
            </strRef>
          </tx>
          <spPr>
            <a:ln>
              <a:prstDash val="solid"/>
            </a:ln>
          </spPr>
          <cat>
            <numRef>
              <f>'Overview'!$B$16:$B$19</f>
            </numRef>
          </cat>
          <val>
            <numRef>
              <f>'Overview'!$D$16:$D$19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Cohen’s kappa (standard, unweighted)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20</row>
      <rowOff>0</rowOff>
    </from>
    <ext cx="5760000" cy="288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B2:G39"/>
  <sheetViews>
    <sheetView workbookViewId="0">
      <selection activeCell="A1" sqref="A1"/>
    </sheetView>
  </sheetViews>
  <sheetFormatPr baseColWidth="8" defaultRowHeight="15"/>
  <cols>
    <col width="3" customWidth="1" min="1" max="1"/>
    <col width="30" customWidth="1" min="2" max="2"/>
    <col width="18" customWidth="1" min="3" max="3"/>
    <col width="18" customWidth="1" min="4" max="4"/>
    <col width="14" customWidth="1" min="5" max="5"/>
    <col width="14" customWidth="1" min="6" max="6"/>
  </cols>
  <sheetData>
    <row r="2">
      <c r="B2" s="1" t="inlineStr">
        <is>
          <t>Institutional Logics — Human vs. AI Coder Agreement (multi-report study)</t>
        </is>
      </c>
    </row>
    <row r="3">
      <c r="B3" s="2" t="inlineStr">
        <is>
          <t>3 annual reports, each coded independently by a human coder and the AI pipeline.</t>
        </is>
      </c>
    </row>
    <row r="5">
      <c r="B5" s="3" t="inlineStr">
        <is>
          <t>Method</t>
        </is>
      </c>
    </row>
    <row r="6" ht="30" customHeight="1">
      <c r="B6" s="4" t="inlineStr">
        <is>
          <t>Chunk matching</t>
        </is>
      </c>
      <c r="D6" s="5" t="inlineStr">
        <is>
          <t>Exact match on chunk text, matched in row order, per report (handles repeated text).</t>
        </is>
      </c>
    </row>
    <row r="7" ht="30" customHeight="1">
      <c r="B7" s="4" t="inlineStr">
        <is>
          <t>Weighting</t>
        </is>
      </c>
      <c r="D7" s="5" t="inlineStr">
        <is>
          <t>Within each applicable element, the primary (top-1) logic scores 2 points and the secondary (top-2) logic scores 1 point, summed across the 5 elements.</t>
        </is>
      </c>
    </row>
    <row r="8" ht="30" customHeight="1">
      <c r="B8" s="4" t="inlineStr">
        <is>
          <t>Chunk inclusion</t>
        </is>
      </c>
      <c r="D8" s="5" t="inlineStr">
        <is>
          <t>A chunk counts as "coded" by a coder if that coder marked ≥1 of the 5 elements applicable; only chunks coded by BOTH coders enter the agreement analysis.</t>
        </is>
      </c>
    </row>
    <row r="9" ht="30" customHeight="1">
      <c r="B9" s="4" t="inlineStr">
        <is>
          <t>Agreement score</t>
        </is>
      </c>
      <c r="D9" s="5" t="inlineStr">
        <is>
          <t>One observation per chunk: each coder’s "dominant logic" (highest weighted-point total among PS/DS/PPG/SC). PS/DS/PPG/SC are NOMINAL categories with no established ordering, so the primary statistic is standard (unweighted) Cohen’s kappa. An earlier ordinal-weighted version is retired and kept only for comparison (see each Agreement sheet).</t>
        </is>
      </c>
    </row>
    <row r="10" ht="30" customHeight="1">
      <c r="B10" s="4" t="inlineStr">
        <is>
          <t>Alternative (flexible)</t>
        </is>
      </c>
      <c r="D10" s="5" t="inlineStr">
        <is>
          <t>A separate, chunk-flexible agreement measure — see the "Flexible Agreement" sheet — credits a chunk as matching if either coder’s dominant pick was at least the other coder’s own secondary emphasis for that chunk, with chance estimated by permutation rather than a closed-form formula.</t>
        </is>
      </c>
    </row>
    <row r="11" ht="30" customHeight="1">
      <c r="B11" s="4" t="inlineStr">
        <is>
          <t>Pooling</t>
        </is>
      </c>
      <c r="D11" s="5" t="inlineStr">
        <is>
          <t>The pooled confusion matrix sums each report’s own matrix; pooled kappa is recomputed from that pooled matrix (kappa is not linear, so averaging per-report kappas would not equal it).</t>
        </is>
      </c>
    </row>
    <row r="14">
      <c r="B14" s="3" t="inlineStr">
        <is>
          <t>Per-report agreement</t>
        </is>
      </c>
    </row>
    <row r="15">
      <c r="B15" s="6" t="inlineStr">
        <is>
          <t>Report</t>
        </is>
      </c>
      <c r="C15" s="6" t="inlineStr">
        <is>
          <t>N (coded by both)</t>
        </is>
      </c>
      <c r="D15" s="6" t="inlineStr">
        <is>
          <t>κ standard (primary)</t>
        </is>
      </c>
      <c r="E15" s="6" t="inlineStr">
        <is>
          <t>κ quadratic (retired)</t>
        </is>
      </c>
      <c r="F15" s="6" t="inlineStr">
        <is>
          <t>κ linear (retired)</t>
        </is>
      </c>
      <c r="G15" s="6" t="inlineStr">
        <is>
          <t>Raw agreement</t>
        </is>
      </c>
    </row>
    <row r="16">
      <c r="B16" s="4" t="inlineStr">
        <is>
          <t>363466802_2021</t>
        </is>
      </c>
      <c r="C16">
        <f>'R1 Agreement'!G13</f>
        <v/>
      </c>
      <c r="D16" s="3">
        <f>'R1 Agreement'!G29</f>
        <v/>
      </c>
      <c r="E16">
        <f>'R1 Agreement'!G38</f>
        <v/>
      </c>
      <c r="F16">
        <f>'R1 Agreement'!G47</f>
        <v/>
      </c>
      <c r="G16" s="7">
        <f>'R1 Agreement'!G21</f>
        <v/>
      </c>
    </row>
    <row r="17">
      <c r="B17" s="4" t="inlineStr">
        <is>
          <t>382023395_2022</t>
        </is>
      </c>
      <c r="C17">
        <f>'R2 Agreement'!G13</f>
        <v/>
      </c>
      <c r="D17" s="3">
        <f>'R2 Agreement'!G29</f>
        <v/>
      </c>
      <c r="E17">
        <f>'R2 Agreement'!G38</f>
        <v/>
      </c>
      <c r="F17">
        <f>'R2 Agreement'!G47</f>
        <v/>
      </c>
      <c r="G17" s="7">
        <f>'R2 Agreement'!G21</f>
        <v/>
      </c>
    </row>
    <row r="18">
      <c r="B18" s="4" t="inlineStr">
        <is>
          <t>25-1650208_2021</t>
        </is>
      </c>
      <c r="C18">
        <f>'R3 Agreement'!G13</f>
        <v/>
      </c>
      <c r="D18" s="3">
        <f>'R3 Agreement'!G29</f>
        <v/>
      </c>
      <c r="E18">
        <f>'R3 Agreement'!G38</f>
        <v/>
      </c>
      <c r="F18">
        <f>'R3 Agreement'!G47</f>
        <v/>
      </c>
      <c r="G18" s="7">
        <f>'R3 Agreement'!G21</f>
        <v/>
      </c>
    </row>
    <row r="19">
      <c r="B19" s="3" t="inlineStr">
        <is>
          <t>POOLED (all reports)</t>
        </is>
      </c>
      <c r="C19">
        <f>'Pooled Agreement'!G11</f>
        <v/>
      </c>
      <c r="D19" s="8">
        <f>'Pooled Agreement'!G27</f>
        <v/>
      </c>
      <c r="E19">
        <f>'Pooled Agreement'!G36</f>
        <v/>
      </c>
      <c r="F19">
        <f>'Pooled Agreement'!G45</f>
        <v/>
      </c>
      <c r="G19" s="7">
        <f>'Pooled Agreement'!G19</f>
        <v/>
      </c>
    </row>
    <row r="39">
      <c r="B39" s="9" t="inlineStr">
        <is>
          <t>See the "Pooled Agreement" sheet for the full pooled confusion matrix and all three weighting schemes, and each report’s own "&lt;code&gt; Agreement" sheet for its individual confusion matrix. "Report Key" maps R1/R2/R3 codes to full report IDs.</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W33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60" customWidth="1" min="2" max="2"/>
    <col width="9" customWidth="1" min="3" max="3"/>
    <col width="9" customWidth="1" min="4" max="4"/>
    <col width="9" customWidth="1" min="5" max="5"/>
    <col width="9" customWidth="1" min="6" max="6"/>
    <col width="10"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 width="8" customWidth="1" min="21" max="21"/>
    <col width="8" customWidth="1" min="22" max="22"/>
    <col width="8" customWidth="1" min="23" max="23"/>
  </cols>
  <sheetData>
    <row r="1">
      <c r="A1" s="6" t="inlineStr">
        <is>
          <t>Chunk ID</t>
        </is>
      </c>
      <c r="B1" s="6" t="inlineStr">
        <is>
          <t>Text</t>
        </is>
      </c>
      <c r="C1" s="6" t="inlineStr">
        <is>
          <t>Human # applic.</t>
        </is>
      </c>
      <c r="D1" s="6" t="inlineStr">
        <is>
          <t>AI # applic.</t>
        </is>
      </c>
      <c r="E1" s="6" t="inlineStr">
        <is>
          <t>Human # incompl.</t>
        </is>
      </c>
      <c r="F1" s="6" t="inlineStr">
        <is>
          <t>AI # incompl.</t>
        </is>
      </c>
      <c r="G1" s="6" t="inlineStr">
        <is>
          <t>Coded by both?</t>
        </is>
      </c>
      <c r="H1" s="6" t="inlineStr">
        <is>
          <t>Human pts PS</t>
        </is>
      </c>
      <c r="I1" s="6" t="inlineStr">
        <is>
          <t>Human pts DS</t>
        </is>
      </c>
      <c r="J1" s="6" t="inlineStr">
        <is>
          <t>Human pts PPG</t>
        </is>
      </c>
      <c r="K1" s="6" t="inlineStr">
        <is>
          <t>Human pts SC</t>
        </is>
      </c>
      <c r="L1" s="6" t="inlineStr">
        <is>
          <t>AI pts PS</t>
        </is>
      </c>
      <c r="M1" s="6" t="inlineStr">
        <is>
          <t>AI pts DS</t>
        </is>
      </c>
      <c r="N1" s="6" t="inlineStr">
        <is>
          <t>AI pts PPG</t>
        </is>
      </c>
      <c r="O1" s="6" t="inlineStr">
        <is>
          <t>AI pts SC</t>
        </is>
      </c>
      <c r="P1" s="6" t="inlineStr">
        <is>
          <t>Human % PS</t>
        </is>
      </c>
      <c r="Q1" s="6" t="inlineStr">
        <is>
          <t>Human % DS</t>
        </is>
      </c>
      <c r="R1" s="6" t="inlineStr">
        <is>
          <t>Human % PPG</t>
        </is>
      </c>
      <c r="S1" s="6" t="inlineStr">
        <is>
          <t>Human % SC</t>
        </is>
      </c>
      <c r="T1" s="6" t="inlineStr">
        <is>
          <t>AI % PS</t>
        </is>
      </c>
      <c r="U1" s="6" t="inlineStr">
        <is>
          <t>AI % DS</t>
        </is>
      </c>
      <c r="V1" s="6" t="inlineStr">
        <is>
          <t>AI % PPG</t>
        </is>
      </c>
      <c r="W1" s="6" t="inlineStr">
        <is>
          <t>AI % SC</t>
        </is>
      </c>
    </row>
    <row r="2">
      <c r="A2" t="n">
        <v>3</v>
      </c>
      <c r="B2" t="inlineStr">
        <is>
          <t>2021 ANNUAL REPORT</t>
        </is>
      </c>
      <c r="C2" t="n">
        <v>0</v>
      </c>
      <c r="D2" t="n">
        <v>0</v>
      </c>
      <c r="E2" t="n">
        <v>0</v>
      </c>
      <c r="F2" t="n">
        <v>0</v>
      </c>
      <c r="G2" t="b">
        <v>0</v>
      </c>
      <c r="H2" t="n">
        <v>0</v>
      </c>
      <c r="I2" t="n">
        <v>0</v>
      </c>
      <c r="J2" t="n">
        <v>0</v>
      </c>
      <c r="K2" t="n">
        <v>0</v>
      </c>
      <c r="L2" t="n">
        <v>0</v>
      </c>
      <c r="M2" t="n">
        <v>0</v>
      </c>
      <c r="N2" t="n">
        <v>0</v>
      </c>
      <c r="O2" t="n">
        <v>0</v>
      </c>
      <c r="P2" s="7">
        <f>IF(SUM(H2:K2)=0,"",H2/SUM(H2:K2))</f>
        <v/>
      </c>
      <c r="Q2" s="7">
        <f>IF(SUM(H2:K2)=0,"",I2/SUM(H2:K2))</f>
        <v/>
      </c>
      <c r="R2" s="7">
        <f>IF(SUM(H2:K2)=0,"",J2/SUM(H2:K2))</f>
        <v/>
      </c>
      <c r="S2" s="7">
        <f>IF(SUM(H2:K2)=0,"",K2/SUM(H2:K2))</f>
        <v/>
      </c>
      <c r="T2" s="7">
        <f>IF(SUM(L2:O2)=0,"",L2/SUM(L2:O2))</f>
        <v/>
      </c>
      <c r="U2" s="7">
        <f>IF(SUM(L2:O2)=0,"",M2/SUM(L2:O2))</f>
        <v/>
      </c>
      <c r="V2" s="7">
        <f>IF(SUM(L2:O2)=0,"",N2/SUM(L2:O2))</f>
        <v/>
      </c>
      <c r="W2" s="7">
        <f>IF(SUM(L2:O2)=0,"",O2/SUM(L2:O2))</f>
        <v/>
      </c>
    </row>
    <row r="3">
      <c r="A3" t="n">
        <v>4</v>
      </c>
      <c r="B3" t="inlineStr">
        <is>
          <t>I AM BECAUSE YOU ARE.</t>
        </is>
      </c>
      <c r="C3" t="n">
        <v>1</v>
      </c>
      <c r="D3" t="n">
        <v>1</v>
      </c>
      <c r="E3" t="n">
        <v>0</v>
      </c>
      <c r="F3" t="n">
        <v>0</v>
      </c>
      <c r="G3" t="b">
        <v>1</v>
      </c>
      <c r="H3" t="n">
        <v>0</v>
      </c>
      <c r="I3" t="n">
        <v>0</v>
      </c>
      <c r="J3" t="n">
        <v>0</v>
      </c>
      <c r="K3" t="n">
        <v>2</v>
      </c>
      <c r="L3" t="n">
        <v>0</v>
      </c>
      <c r="M3" t="n">
        <v>0</v>
      </c>
      <c r="N3" t="n">
        <v>1</v>
      </c>
      <c r="O3" t="n">
        <v>2</v>
      </c>
      <c r="P3" s="7">
        <f>IF(SUM(H3:K3)=0,"",H3/SUM(H3:K3))</f>
        <v/>
      </c>
      <c r="Q3" s="7">
        <f>IF(SUM(H3:K3)=0,"",I3/SUM(H3:K3))</f>
        <v/>
      </c>
      <c r="R3" s="7">
        <f>IF(SUM(H3:K3)=0,"",J3/SUM(H3:K3))</f>
        <v/>
      </c>
      <c r="S3" s="7">
        <f>IF(SUM(H3:K3)=0,"",K3/SUM(H3:K3))</f>
        <v/>
      </c>
      <c r="T3" s="7">
        <f>IF(SUM(L3:O3)=0,"",L3/SUM(L3:O3))</f>
        <v/>
      </c>
      <c r="U3" s="7">
        <f>IF(SUM(L3:O3)=0,"",M3/SUM(L3:O3))</f>
        <v/>
      </c>
      <c r="V3" s="7">
        <f>IF(SUM(L3:O3)=0,"",N3/SUM(L3:O3))</f>
        <v/>
      </c>
      <c r="W3" s="7">
        <f>IF(SUM(L3:O3)=0,"",O3/SUM(L3:O3))</f>
        <v/>
      </c>
    </row>
    <row r="4">
      <c r="A4" t="n">
        <v>5</v>
      </c>
      <c r="B4" t="inlineStr">
        <is>
          <t>Friends of [community_foundation_tag],</t>
        </is>
      </c>
      <c r="C4" t="n">
        <v>0</v>
      </c>
      <c r="D4" t="n">
        <v>0</v>
      </c>
      <c r="E4" t="n">
        <v>0</v>
      </c>
      <c r="F4" t="n">
        <v>0</v>
      </c>
      <c r="G4" t="b">
        <v>0</v>
      </c>
      <c r="H4" t="n">
        <v>0</v>
      </c>
      <c r="I4" t="n">
        <v>0</v>
      </c>
      <c r="J4" t="n">
        <v>0</v>
      </c>
      <c r="K4" t="n">
        <v>0</v>
      </c>
      <c r="L4" t="n">
        <v>0</v>
      </c>
      <c r="M4" t="n">
        <v>0</v>
      </c>
      <c r="N4" t="n">
        <v>0</v>
      </c>
      <c r="O4" t="n">
        <v>0</v>
      </c>
      <c r="P4" s="7">
        <f>IF(SUM(H4:K4)=0,"",H4/SUM(H4:K4))</f>
        <v/>
      </c>
      <c r="Q4" s="7">
        <f>IF(SUM(H4:K4)=0,"",I4/SUM(H4:K4))</f>
        <v/>
      </c>
      <c r="R4" s="7">
        <f>IF(SUM(H4:K4)=0,"",J4/SUM(H4:K4))</f>
        <v/>
      </c>
      <c r="S4" s="7">
        <f>IF(SUM(H4:K4)=0,"",K4/SUM(H4:K4))</f>
        <v/>
      </c>
      <c r="T4" s="7">
        <f>IF(SUM(L4:O4)=0,"",L4/SUM(L4:O4))</f>
        <v/>
      </c>
      <c r="U4" s="7">
        <f>IF(SUM(L4:O4)=0,"",M4/SUM(L4:O4))</f>
        <v/>
      </c>
      <c r="V4" s="7">
        <f>IF(SUM(L4:O4)=0,"",N4/SUM(L4:O4))</f>
        <v/>
      </c>
      <c r="W4" s="7">
        <f>IF(SUM(L4:O4)=0,"",O4/SUM(L4:O4))</f>
        <v/>
      </c>
    </row>
    <row r="5">
      <c r="A5" t="n">
        <v>6</v>
      </c>
      <c r="B5" t="inlineStr">
        <is>
          <t>I am celebrating my first anniversary at [community_foundation_tag].</t>
        </is>
      </c>
      <c r="C5" t="n">
        <v>0</v>
      </c>
      <c r="D5" t="n">
        <v>0</v>
      </c>
      <c r="E5" t="n">
        <v>0</v>
      </c>
      <c r="F5" t="n">
        <v>0</v>
      </c>
      <c r="G5" t="b">
        <v>0</v>
      </c>
      <c r="H5" t="n">
        <v>0</v>
      </c>
      <c r="I5" t="n">
        <v>0</v>
      </c>
      <c r="J5" t="n">
        <v>0</v>
      </c>
      <c r="K5" t="n">
        <v>0</v>
      </c>
      <c r="L5" t="n">
        <v>0</v>
      </c>
      <c r="M5" t="n">
        <v>0</v>
      </c>
      <c r="N5" t="n">
        <v>0</v>
      </c>
      <c r="O5" t="n">
        <v>0</v>
      </c>
      <c r="P5" s="7">
        <f>IF(SUM(H5:K5)=0,"",H5/SUM(H5:K5))</f>
        <v/>
      </c>
      <c r="Q5" s="7">
        <f>IF(SUM(H5:K5)=0,"",I5/SUM(H5:K5))</f>
        <v/>
      </c>
      <c r="R5" s="7">
        <f>IF(SUM(H5:K5)=0,"",J5/SUM(H5:K5))</f>
        <v/>
      </c>
      <c r="S5" s="7">
        <f>IF(SUM(H5:K5)=0,"",K5/SUM(H5:K5))</f>
        <v/>
      </c>
      <c r="T5" s="7">
        <f>IF(SUM(L5:O5)=0,"",L5/SUM(L5:O5))</f>
        <v/>
      </c>
      <c r="U5" s="7">
        <f>IF(SUM(L5:O5)=0,"",M5/SUM(L5:O5))</f>
        <v/>
      </c>
      <c r="V5" s="7">
        <f>IF(SUM(L5:O5)=0,"",N5/SUM(L5:O5))</f>
        <v/>
      </c>
      <c r="W5" s="7">
        <f>IF(SUM(L5:O5)=0,"",O5/SUM(L5:O5))</f>
        <v/>
      </c>
    </row>
    <row r="6">
      <c r="A6" t="n">
        <v>7</v>
      </c>
      <c r="B6" t="inlineStr">
        <is>
          <t>The fullness of this experience is beyond what I anticipated.</t>
        </is>
      </c>
      <c r="C6" t="n">
        <v>0</v>
      </c>
      <c r="D6" t="n">
        <v>0</v>
      </c>
      <c r="E6" t="n">
        <v>0</v>
      </c>
      <c r="F6" t="n">
        <v>0</v>
      </c>
      <c r="G6" t="b">
        <v>0</v>
      </c>
      <c r="H6" t="n">
        <v>0</v>
      </c>
      <c r="I6" t="n">
        <v>0</v>
      </c>
      <c r="J6" t="n">
        <v>0</v>
      </c>
      <c r="K6" t="n">
        <v>0</v>
      </c>
      <c r="L6" t="n">
        <v>0</v>
      </c>
      <c r="M6" t="n">
        <v>0</v>
      </c>
      <c r="N6" t="n">
        <v>0</v>
      </c>
      <c r="O6" t="n">
        <v>0</v>
      </c>
      <c r="P6" s="7">
        <f>IF(SUM(H6:K6)=0,"",H6/SUM(H6:K6))</f>
        <v/>
      </c>
      <c r="Q6" s="7">
        <f>IF(SUM(H6:K6)=0,"",I6/SUM(H6:K6))</f>
        <v/>
      </c>
      <c r="R6" s="7">
        <f>IF(SUM(H6:K6)=0,"",J6/SUM(H6:K6))</f>
        <v/>
      </c>
      <c r="S6" s="7">
        <f>IF(SUM(H6:K6)=0,"",K6/SUM(H6:K6))</f>
        <v/>
      </c>
      <c r="T6" s="7">
        <f>IF(SUM(L6:O6)=0,"",L6/SUM(L6:O6))</f>
        <v/>
      </c>
      <c r="U6" s="7">
        <f>IF(SUM(L6:O6)=0,"",M6/SUM(L6:O6))</f>
        <v/>
      </c>
      <c r="V6" s="7">
        <f>IF(SUM(L6:O6)=0,"",N6/SUM(L6:O6))</f>
        <v/>
      </c>
      <c r="W6" s="7">
        <f>IF(SUM(L6:O6)=0,"",O6/SUM(L6:O6))</f>
        <v/>
      </c>
    </row>
    <row r="7">
      <c r="A7" t="n">
        <v>8</v>
      </c>
      <c r="B7" t="inlineStr">
        <is>
          <t>I've called Evanston my home for some time now, but I've been amazed by the depth and breadth of meaningful work and generosity happening these past couple of years.</t>
        </is>
      </c>
      <c r="C7" t="n">
        <v>0</v>
      </c>
      <c r="D7" t="n">
        <v>1</v>
      </c>
      <c r="E7" t="n">
        <v>0</v>
      </c>
      <c r="F7" t="n">
        <v>0</v>
      </c>
      <c r="G7" t="b">
        <v>0</v>
      </c>
      <c r="H7" t="n">
        <v>0</v>
      </c>
      <c r="I7" t="n">
        <v>0</v>
      </c>
      <c r="J7" t="n">
        <v>0</v>
      </c>
      <c r="K7" t="n">
        <v>0</v>
      </c>
      <c r="L7" t="n">
        <v>2</v>
      </c>
      <c r="M7" t="n">
        <v>0</v>
      </c>
      <c r="N7" t="n">
        <v>0</v>
      </c>
      <c r="O7" t="n">
        <v>1</v>
      </c>
      <c r="P7" s="7">
        <f>IF(SUM(H7:K7)=0,"",H7/SUM(H7:K7))</f>
        <v/>
      </c>
      <c r="Q7" s="7">
        <f>IF(SUM(H7:K7)=0,"",I7/SUM(H7:K7))</f>
        <v/>
      </c>
      <c r="R7" s="7">
        <f>IF(SUM(H7:K7)=0,"",J7/SUM(H7:K7))</f>
        <v/>
      </c>
      <c r="S7" s="7">
        <f>IF(SUM(H7:K7)=0,"",K7/SUM(H7:K7))</f>
        <v/>
      </c>
      <c r="T7" s="7">
        <f>IF(SUM(L7:O7)=0,"",L7/SUM(L7:O7))</f>
        <v/>
      </c>
      <c r="U7" s="7">
        <f>IF(SUM(L7:O7)=0,"",M7/SUM(L7:O7))</f>
        <v/>
      </c>
      <c r="V7" s="7">
        <f>IF(SUM(L7:O7)=0,"",N7/SUM(L7:O7))</f>
        <v/>
      </c>
      <c r="W7" s="7">
        <f>IF(SUM(L7:O7)=0,"",O7/SUM(L7:O7))</f>
        <v/>
      </c>
    </row>
    <row r="8">
      <c r="A8" t="n">
        <v>9</v>
      </c>
      <c r="B8" t="inlineStr">
        <is>
          <t>This work [community_foundation_tag] do together exemplifies the true meaning of philanthropy, which is rooted in 'the love of humanity.' That's why I've been viewing [community_foundation_tag]'s work through the lens of 'Ubuntu'-a term used by the Bantu people of Southern Africa-which means 'I am because you are.'</t>
        </is>
      </c>
      <c r="C8" t="n">
        <v>1</v>
      </c>
      <c r="D8" t="n">
        <v>2</v>
      </c>
      <c r="E8" t="n">
        <v>0</v>
      </c>
      <c r="F8" t="n">
        <v>0</v>
      </c>
      <c r="G8" t="b">
        <v>1</v>
      </c>
      <c r="H8" t="n">
        <v>0</v>
      </c>
      <c r="I8" t="n">
        <v>0</v>
      </c>
      <c r="J8" t="n">
        <v>0</v>
      </c>
      <c r="K8" t="n">
        <v>2</v>
      </c>
      <c r="L8" t="n">
        <v>1</v>
      </c>
      <c r="M8" t="n">
        <v>0</v>
      </c>
      <c r="N8" t="n">
        <v>1</v>
      </c>
      <c r="O8" t="n">
        <v>4</v>
      </c>
      <c r="P8" s="7">
        <f>IF(SUM(H8:K8)=0,"",H8/SUM(H8:K8))</f>
        <v/>
      </c>
      <c r="Q8" s="7">
        <f>IF(SUM(H8:K8)=0,"",I8/SUM(H8:K8))</f>
        <v/>
      </c>
      <c r="R8" s="7">
        <f>IF(SUM(H8:K8)=0,"",J8/SUM(H8:K8))</f>
        <v/>
      </c>
      <c r="S8" s="7">
        <f>IF(SUM(H8:K8)=0,"",K8/SUM(H8:K8))</f>
        <v/>
      </c>
      <c r="T8" s="7">
        <f>IF(SUM(L8:O8)=0,"",L8/SUM(L8:O8))</f>
        <v/>
      </c>
      <c r="U8" s="7">
        <f>IF(SUM(L8:O8)=0,"",M8/SUM(L8:O8))</f>
        <v/>
      </c>
      <c r="V8" s="7">
        <f>IF(SUM(L8:O8)=0,"",N8/SUM(L8:O8))</f>
        <v/>
      </c>
      <c r="W8" s="7">
        <f>IF(SUM(L8:O8)=0,"",O8/SUM(L8:O8))</f>
        <v/>
      </c>
    </row>
    <row r="9">
      <c r="A9" t="n">
        <v>10</v>
      </c>
      <c r="B9" t="inlineStr">
        <is>
          <t>I am strong because you are strong. I am weak when you are weak.</t>
        </is>
      </c>
      <c r="C9" t="n">
        <v>1</v>
      </c>
      <c r="D9" t="n">
        <v>1</v>
      </c>
      <c r="E9" t="n">
        <v>1</v>
      </c>
      <c r="F9" t="n">
        <v>0</v>
      </c>
      <c r="G9" t="b">
        <v>1</v>
      </c>
      <c r="H9" t="n">
        <v>0</v>
      </c>
      <c r="I9" t="n">
        <v>0</v>
      </c>
      <c r="J9" t="n">
        <v>0</v>
      </c>
      <c r="K9" t="n">
        <v>0</v>
      </c>
      <c r="L9" t="n">
        <v>0</v>
      </c>
      <c r="M9" t="n">
        <v>0</v>
      </c>
      <c r="N9" t="n">
        <v>1</v>
      </c>
      <c r="O9" t="n">
        <v>2</v>
      </c>
      <c r="P9" s="7">
        <f>IF(SUM(H9:K9)=0,"",H9/SUM(H9:K9))</f>
        <v/>
      </c>
      <c r="Q9" s="7">
        <f>IF(SUM(H9:K9)=0,"",I9/SUM(H9:K9))</f>
        <v/>
      </c>
      <c r="R9" s="7">
        <f>IF(SUM(H9:K9)=0,"",J9/SUM(H9:K9))</f>
        <v/>
      </c>
      <c r="S9" s="7">
        <f>IF(SUM(H9:K9)=0,"",K9/SUM(H9:K9))</f>
        <v/>
      </c>
      <c r="T9" s="7">
        <f>IF(SUM(L9:O9)=0,"",L9/SUM(L9:O9))</f>
        <v/>
      </c>
      <c r="U9" s="7">
        <f>IF(SUM(L9:O9)=0,"",M9/SUM(L9:O9))</f>
        <v/>
      </c>
      <c r="V9" s="7">
        <f>IF(SUM(L9:O9)=0,"",N9/SUM(L9:O9))</f>
        <v/>
      </c>
      <c r="W9" s="7">
        <f>IF(SUM(L9:O9)=0,"",O9/SUM(L9:O9))</f>
        <v/>
      </c>
    </row>
    <row r="10">
      <c r="A10" t="n">
        <v>11</v>
      </c>
      <c r="B10" t="inlineStr">
        <is>
          <t>If my neighbor is hungry, needs shelter or clothing, and cannot thrive, then I am not whole.</t>
        </is>
      </c>
      <c r="C10" t="n">
        <v>1</v>
      </c>
      <c r="D10" t="n">
        <v>1</v>
      </c>
      <c r="E10" t="n">
        <v>0</v>
      </c>
      <c r="F10" t="n">
        <v>0</v>
      </c>
      <c r="G10" t="b">
        <v>1</v>
      </c>
      <c r="H10" t="n">
        <v>0</v>
      </c>
      <c r="I10" t="n">
        <v>0</v>
      </c>
      <c r="J10" t="n">
        <v>0</v>
      </c>
      <c r="K10" t="n">
        <v>2</v>
      </c>
      <c r="L10" t="n">
        <v>0</v>
      </c>
      <c r="M10" t="n">
        <v>0</v>
      </c>
      <c r="N10" t="n">
        <v>1</v>
      </c>
      <c r="O10" t="n">
        <v>2</v>
      </c>
      <c r="P10" s="7">
        <f>IF(SUM(H10:K10)=0,"",H10/SUM(H10:K10))</f>
        <v/>
      </c>
      <c r="Q10" s="7">
        <f>IF(SUM(H10:K10)=0,"",I10/SUM(H10:K10))</f>
        <v/>
      </c>
      <c r="R10" s="7">
        <f>IF(SUM(H10:K10)=0,"",J10/SUM(H10:K10))</f>
        <v/>
      </c>
      <c r="S10" s="7">
        <f>IF(SUM(H10:K10)=0,"",K10/SUM(H10:K10))</f>
        <v/>
      </c>
      <c r="T10" s="7">
        <f>IF(SUM(L10:O10)=0,"",L10/SUM(L10:O10))</f>
        <v/>
      </c>
      <c r="U10" s="7">
        <f>IF(SUM(L10:O10)=0,"",M10/SUM(L10:O10))</f>
        <v/>
      </c>
      <c r="V10" s="7">
        <f>IF(SUM(L10:O10)=0,"",N10/SUM(L10:O10))</f>
        <v/>
      </c>
      <c r="W10" s="7">
        <f>IF(SUM(L10:O10)=0,"",O10/SUM(L10:O10))</f>
        <v/>
      </c>
    </row>
    <row r="11">
      <c r="A11" t="n">
        <v>12</v>
      </c>
      <c r="B11" t="inlineStr">
        <is>
          <t>The Ubuntu philosophy links and weaves all of us together inextricably.</t>
        </is>
      </c>
      <c r="C11" t="n">
        <v>2</v>
      </c>
      <c r="D11" t="n">
        <v>1</v>
      </c>
      <c r="E11" t="n">
        <v>0</v>
      </c>
      <c r="F11" t="n">
        <v>0</v>
      </c>
      <c r="G11" t="b">
        <v>1</v>
      </c>
      <c r="H11" t="n">
        <v>0</v>
      </c>
      <c r="I11" t="n">
        <v>0</v>
      </c>
      <c r="J11" t="n">
        <v>0</v>
      </c>
      <c r="K11" t="n">
        <v>4</v>
      </c>
      <c r="L11" t="n">
        <v>0</v>
      </c>
      <c r="M11" t="n">
        <v>0</v>
      </c>
      <c r="N11" t="n">
        <v>1</v>
      </c>
      <c r="O11" t="n">
        <v>2</v>
      </c>
      <c r="P11" s="7">
        <f>IF(SUM(H11:K11)=0,"",H11/SUM(H11:K11))</f>
        <v/>
      </c>
      <c r="Q11" s="7">
        <f>IF(SUM(H11:K11)=0,"",I11/SUM(H11:K11))</f>
        <v/>
      </c>
      <c r="R11" s="7">
        <f>IF(SUM(H11:K11)=0,"",J11/SUM(H11:K11))</f>
        <v/>
      </c>
      <c r="S11" s="7">
        <f>IF(SUM(H11:K11)=0,"",K11/SUM(H11:K11))</f>
        <v/>
      </c>
      <c r="T11" s="7">
        <f>IF(SUM(L11:O11)=0,"",L11/SUM(L11:O11))</f>
        <v/>
      </c>
      <c r="U11" s="7">
        <f>IF(SUM(L11:O11)=0,"",M11/SUM(L11:O11))</f>
        <v/>
      </c>
      <c r="V11" s="7">
        <f>IF(SUM(L11:O11)=0,"",N11/SUM(L11:O11))</f>
        <v/>
      </c>
      <c r="W11" s="7">
        <f>IF(SUM(L11:O11)=0,"",O11/SUM(L11:O11))</f>
        <v/>
      </c>
    </row>
    <row r="12">
      <c r="A12" t="n">
        <v>13</v>
      </c>
      <c r="B12" t="inlineStr">
        <is>
          <t>In this report, you will read about Evanstonians who partner with [community_foundation_tag] and who embody Ubuntu in their work and personal lives.</t>
        </is>
      </c>
      <c r="C12" t="n">
        <v>1</v>
      </c>
      <c r="D12" t="n">
        <v>1</v>
      </c>
      <c r="E12" t="n">
        <v>0</v>
      </c>
      <c r="F12" t="n">
        <v>0</v>
      </c>
      <c r="G12" t="b">
        <v>1</v>
      </c>
      <c r="H12" t="n">
        <v>0</v>
      </c>
      <c r="I12" t="n">
        <v>0</v>
      </c>
      <c r="J12" t="n">
        <v>0</v>
      </c>
      <c r="K12" t="n">
        <v>2</v>
      </c>
      <c r="L12" t="n">
        <v>1</v>
      </c>
      <c r="M12" t="n">
        <v>0</v>
      </c>
      <c r="N12" t="n">
        <v>0</v>
      </c>
      <c r="O12" t="n">
        <v>2</v>
      </c>
      <c r="P12" s="7">
        <f>IF(SUM(H12:K12)=0,"",H12/SUM(H12:K12))</f>
        <v/>
      </c>
      <c r="Q12" s="7">
        <f>IF(SUM(H12:K12)=0,"",I12/SUM(H12:K12))</f>
        <v/>
      </c>
      <c r="R12" s="7">
        <f>IF(SUM(H12:K12)=0,"",J12/SUM(H12:K12))</f>
        <v/>
      </c>
      <c r="S12" s="7">
        <f>IF(SUM(H12:K12)=0,"",K12/SUM(H12:K12))</f>
        <v/>
      </c>
      <c r="T12" s="7">
        <f>IF(SUM(L12:O12)=0,"",L12/SUM(L12:O12))</f>
        <v/>
      </c>
      <c r="U12" s="7">
        <f>IF(SUM(L12:O12)=0,"",M12/SUM(L12:O12))</f>
        <v/>
      </c>
      <c r="V12" s="7">
        <f>IF(SUM(L12:O12)=0,"",N12/SUM(L12:O12))</f>
        <v/>
      </c>
      <c r="W12" s="7">
        <f>IF(SUM(L12:O12)=0,"",O12/SUM(L12:O12))</f>
        <v/>
      </c>
    </row>
    <row r="13">
      <c r="A13" t="n">
        <v>14</v>
      </c>
      <c r="B13" t="inlineStr">
        <is>
          <t>These individuals are made stronger through their support of their neighbors.</t>
        </is>
      </c>
      <c r="C13" t="n">
        <v>1</v>
      </c>
      <c r="D13" t="n">
        <v>1</v>
      </c>
      <c r="E13" t="n">
        <v>0</v>
      </c>
      <c r="F13" t="n">
        <v>0</v>
      </c>
      <c r="G13" t="b">
        <v>1</v>
      </c>
      <c r="H13" t="n">
        <v>0</v>
      </c>
      <c r="I13" t="n">
        <v>0</v>
      </c>
      <c r="J13" t="n">
        <v>0</v>
      </c>
      <c r="K13" t="n">
        <v>2</v>
      </c>
      <c r="L13" t="n">
        <v>1</v>
      </c>
      <c r="M13" t="n">
        <v>0</v>
      </c>
      <c r="N13" t="n">
        <v>0</v>
      </c>
      <c r="O13" t="n">
        <v>2</v>
      </c>
      <c r="P13" s="7">
        <f>IF(SUM(H13:K13)=0,"",H13/SUM(H13:K13))</f>
        <v/>
      </c>
      <c r="Q13" s="7">
        <f>IF(SUM(H13:K13)=0,"",I13/SUM(H13:K13))</f>
        <v/>
      </c>
      <c r="R13" s="7">
        <f>IF(SUM(H13:K13)=0,"",J13/SUM(H13:K13))</f>
        <v/>
      </c>
      <c r="S13" s="7">
        <f>IF(SUM(H13:K13)=0,"",K13/SUM(H13:K13))</f>
        <v/>
      </c>
      <c r="T13" s="7">
        <f>IF(SUM(L13:O13)=0,"",L13/SUM(L13:O13))</f>
        <v/>
      </c>
      <c r="U13" s="7">
        <f>IF(SUM(L13:O13)=0,"",M13/SUM(L13:O13))</f>
        <v/>
      </c>
      <c r="V13" s="7">
        <f>IF(SUM(L13:O13)=0,"",N13/SUM(L13:O13))</f>
        <v/>
      </c>
      <c r="W13" s="7">
        <f>IF(SUM(L13:O13)=0,"",O13/SUM(L13:O13))</f>
        <v/>
      </c>
    </row>
    <row r="14">
      <c r="A14" t="n">
        <v>15</v>
      </c>
      <c r="B14" t="inlineStr">
        <is>
          <t>Join me in creating that Evanston-now, forever, and for everyone!</t>
        </is>
      </c>
      <c r="C14" t="n">
        <v>0</v>
      </c>
      <c r="D14" t="n">
        <v>2</v>
      </c>
      <c r="E14" t="n">
        <v>0</v>
      </c>
      <c r="F14" t="n">
        <v>0</v>
      </c>
      <c r="G14" t="b">
        <v>0</v>
      </c>
      <c r="H14" t="n">
        <v>0</v>
      </c>
      <c r="I14" t="n">
        <v>0</v>
      </c>
      <c r="J14" t="n">
        <v>0</v>
      </c>
      <c r="K14" t="n">
        <v>0</v>
      </c>
      <c r="L14" t="n">
        <v>2</v>
      </c>
      <c r="M14" t="n">
        <v>0</v>
      </c>
      <c r="N14" t="n">
        <v>0</v>
      </c>
      <c r="O14" t="n">
        <v>4</v>
      </c>
      <c r="P14" s="7">
        <f>IF(SUM(H14:K14)=0,"",H14/SUM(H14:K14))</f>
        <v/>
      </c>
      <c r="Q14" s="7">
        <f>IF(SUM(H14:K14)=0,"",I14/SUM(H14:K14))</f>
        <v/>
      </c>
      <c r="R14" s="7">
        <f>IF(SUM(H14:K14)=0,"",J14/SUM(H14:K14))</f>
        <v/>
      </c>
      <c r="S14" s="7">
        <f>IF(SUM(H14:K14)=0,"",K14/SUM(H14:K14))</f>
        <v/>
      </c>
      <c r="T14" s="7">
        <f>IF(SUM(L14:O14)=0,"",L14/SUM(L14:O14))</f>
        <v/>
      </c>
      <c r="U14" s="7">
        <f>IF(SUM(L14:O14)=0,"",M14/SUM(L14:O14))</f>
        <v/>
      </c>
      <c r="V14" s="7">
        <f>IF(SUM(L14:O14)=0,"",N14/SUM(L14:O14))</f>
        <v/>
      </c>
      <c r="W14" s="7">
        <f>IF(SUM(L14:O14)=0,"",O14/SUM(L14:O14))</f>
        <v/>
      </c>
    </row>
    <row r="15">
      <c r="A15" t="n">
        <v>16</v>
      </c>
      <c r="B15" t="inlineStr">
        <is>
          <t>[individual_tag], President &amp;amp; CEO, [community_foundation_tag]</t>
        </is>
      </c>
      <c r="C15" t="n">
        <v>0</v>
      </c>
      <c r="D15" t="n">
        <v>0</v>
      </c>
      <c r="E15" t="n">
        <v>0</v>
      </c>
      <c r="F15" t="n">
        <v>0</v>
      </c>
      <c r="G15" t="b">
        <v>0</v>
      </c>
      <c r="H15" t="n">
        <v>0</v>
      </c>
      <c r="I15" t="n">
        <v>0</v>
      </c>
      <c r="J15" t="n">
        <v>0</v>
      </c>
      <c r="K15" t="n">
        <v>0</v>
      </c>
      <c r="L15" t="n">
        <v>0</v>
      </c>
      <c r="M15" t="n">
        <v>0</v>
      </c>
      <c r="N15" t="n">
        <v>0</v>
      </c>
      <c r="O15" t="n">
        <v>0</v>
      </c>
      <c r="P15" s="7">
        <f>IF(SUM(H15:K15)=0,"",H15/SUM(H15:K15))</f>
        <v/>
      </c>
      <c r="Q15" s="7">
        <f>IF(SUM(H15:K15)=0,"",I15/SUM(H15:K15))</f>
        <v/>
      </c>
      <c r="R15" s="7">
        <f>IF(SUM(H15:K15)=0,"",J15/SUM(H15:K15))</f>
        <v/>
      </c>
      <c r="S15" s="7">
        <f>IF(SUM(H15:K15)=0,"",K15/SUM(H15:K15))</f>
        <v/>
      </c>
      <c r="T15" s="7">
        <f>IF(SUM(L15:O15)=0,"",L15/SUM(L15:O15))</f>
        <v/>
      </c>
      <c r="U15" s="7">
        <f>IF(SUM(L15:O15)=0,"",M15/SUM(L15:O15))</f>
        <v/>
      </c>
      <c r="V15" s="7">
        <f>IF(SUM(L15:O15)=0,"",N15/SUM(L15:O15))</f>
        <v/>
      </c>
      <c r="W15" s="7">
        <f>IF(SUM(L15:O15)=0,"",O15/SUM(L15:O15))</f>
        <v/>
      </c>
    </row>
    <row r="16">
      <c r="A16" t="n">
        <v>17</v>
      </c>
      <c r="B16" t="inlineStr">
        <is>
          <t>LET'S UNLOCK THE POWER WITHIN ALL OF US.</t>
        </is>
      </c>
      <c r="C16" t="n">
        <v>0</v>
      </c>
      <c r="D16" t="n">
        <v>1</v>
      </c>
      <c r="E16" t="n">
        <v>0</v>
      </c>
      <c r="F16" t="n">
        <v>0</v>
      </c>
      <c r="G16" t="b">
        <v>0</v>
      </c>
      <c r="H16" t="n">
        <v>0</v>
      </c>
      <c r="I16" t="n">
        <v>0</v>
      </c>
      <c r="J16" t="n">
        <v>0</v>
      </c>
      <c r="K16" t="n">
        <v>0</v>
      </c>
      <c r="L16" t="n">
        <v>0</v>
      </c>
      <c r="M16" t="n">
        <v>0</v>
      </c>
      <c r="N16" t="n">
        <v>1</v>
      </c>
      <c r="O16" t="n">
        <v>2</v>
      </c>
      <c r="P16" s="7">
        <f>IF(SUM(H16:K16)=0,"",H16/SUM(H16:K16))</f>
        <v/>
      </c>
      <c r="Q16" s="7">
        <f>IF(SUM(H16:K16)=0,"",I16/SUM(H16:K16))</f>
        <v/>
      </c>
      <c r="R16" s="7">
        <f>IF(SUM(H16:K16)=0,"",J16/SUM(H16:K16))</f>
        <v/>
      </c>
      <c r="S16" s="7">
        <f>IF(SUM(H16:K16)=0,"",K16/SUM(H16:K16))</f>
        <v/>
      </c>
      <c r="T16" s="7">
        <f>IF(SUM(L16:O16)=0,"",L16/SUM(L16:O16))</f>
        <v/>
      </c>
      <c r="U16" s="7">
        <f>IF(SUM(L16:O16)=0,"",M16/SUM(L16:O16))</f>
        <v/>
      </c>
      <c r="V16" s="7">
        <f>IF(SUM(L16:O16)=0,"",N16/SUM(L16:O16))</f>
        <v/>
      </c>
      <c r="W16" s="7">
        <f>IF(SUM(L16:O16)=0,"",O16/SUM(L16:O16))</f>
        <v/>
      </c>
    </row>
    <row r="17">
      <c r="A17" t="n">
        <v>19</v>
      </c>
      <c r="B17" t="inlineStr">
        <is>
          <t>' I was born and raised here. I've been here 78 years, almost 79.</t>
        </is>
      </c>
      <c r="C17" t="n">
        <v>0</v>
      </c>
      <c r="D17" t="n">
        <v>1</v>
      </c>
      <c r="E17" t="n">
        <v>0</v>
      </c>
      <c r="F17" t="n">
        <v>0</v>
      </c>
      <c r="G17" t="b">
        <v>0</v>
      </c>
      <c r="H17" t="n">
        <v>0</v>
      </c>
      <c r="I17" t="n">
        <v>0</v>
      </c>
      <c r="J17" t="n">
        <v>0</v>
      </c>
      <c r="K17" t="n">
        <v>0</v>
      </c>
      <c r="L17" t="n">
        <v>2</v>
      </c>
      <c r="M17" t="n">
        <v>0</v>
      </c>
      <c r="N17" t="n">
        <v>0</v>
      </c>
      <c r="O17" t="n">
        <v>1</v>
      </c>
      <c r="P17" s="7">
        <f>IF(SUM(H17:K17)=0,"",H17/SUM(H17:K17))</f>
        <v/>
      </c>
      <c r="Q17" s="7">
        <f>IF(SUM(H17:K17)=0,"",I17/SUM(H17:K17))</f>
        <v/>
      </c>
      <c r="R17" s="7">
        <f>IF(SUM(H17:K17)=0,"",J17/SUM(H17:K17))</f>
        <v/>
      </c>
      <c r="S17" s="7">
        <f>IF(SUM(H17:K17)=0,"",K17/SUM(H17:K17))</f>
        <v/>
      </c>
      <c r="T17" s="7">
        <f>IF(SUM(L17:O17)=0,"",L17/SUM(L17:O17))</f>
        <v/>
      </c>
      <c r="U17" s="7">
        <f>IF(SUM(L17:O17)=0,"",M17/SUM(L17:O17))</f>
        <v/>
      </c>
      <c r="V17" s="7">
        <f>IF(SUM(L17:O17)=0,"",N17/SUM(L17:O17))</f>
        <v/>
      </c>
      <c r="W17" s="7">
        <f>IF(SUM(L17:O17)=0,"",O17/SUM(L17:O17))</f>
        <v/>
      </c>
    </row>
    <row r="18">
      <c r="A18" t="n">
        <v>20</v>
      </c>
      <c r="B18" t="inlineStr">
        <is>
          <t>We used to be on the lake but were pushed out. Either they moved our houses, or we had to move this way.</t>
        </is>
      </c>
      <c r="C18" t="n">
        <v>0</v>
      </c>
      <c r="D18" t="n">
        <v>1</v>
      </c>
      <c r="E18" t="n">
        <v>0</v>
      </c>
      <c r="F18" t="n">
        <v>0</v>
      </c>
      <c r="G18" t="b">
        <v>0</v>
      </c>
      <c r="H18" t="n">
        <v>0</v>
      </c>
      <c r="I18" t="n">
        <v>0</v>
      </c>
      <c r="J18" t="n">
        <v>0</v>
      </c>
      <c r="K18" t="n">
        <v>0</v>
      </c>
      <c r="L18" t="n">
        <v>1</v>
      </c>
      <c r="M18" t="n">
        <v>0</v>
      </c>
      <c r="N18" t="n">
        <v>0</v>
      </c>
      <c r="O18" t="n">
        <v>2</v>
      </c>
      <c r="P18" s="7">
        <f>IF(SUM(H18:K18)=0,"",H18/SUM(H18:K18))</f>
        <v/>
      </c>
      <c r="Q18" s="7">
        <f>IF(SUM(H18:K18)=0,"",I18/SUM(H18:K18))</f>
        <v/>
      </c>
      <c r="R18" s="7">
        <f>IF(SUM(H18:K18)=0,"",J18/SUM(H18:K18))</f>
        <v/>
      </c>
      <c r="S18" s="7">
        <f>IF(SUM(H18:K18)=0,"",K18/SUM(H18:K18))</f>
        <v/>
      </c>
      <c r="T18" s="7">
        <f>IF(SUM(L18:O18)=0,"",L18/SUM(L18:O18))</f>
        <v/>
      </c>
      <c r="U18" s="7">
        <f>IF(SUM(L18:O18)=0,"",M18/SUM(L18:O18))</f>
        <v/>
      </c>
      <c r="V18" s="7">
        <f>IF(SUM(L18:O18)=0,"",N18/SUM(L18:O18))</f>
        <v/>
      </c>
      <c r="W18" s="7">
        <f>IF(SUM(L18:O18)=0,"",O18/SUM(L18:O18))</f>
        <v/>
      </c>
    </row>
    <row r="19">
      <c r="A19" t="n">
        <v>21</v>
      </c>
      <c r="B19" t="inlineStr">
        <is>
          <t>I'm part of the West End Area Block Club, which has been around since the early '60s.</t>
        </is>
      </c>
      <c r="C19" t="n">
        <v>0</v>
      </c>
      <c r="D19" t="n">
        <v>1</v>
      </c>
      <c r="E19" t="n">
        <v>0</v>
      </c>
      <c r="F19" t="n">
        <v>0</v>
      </c>
      <c r="G19" t="b">
        <v>0</v>
      </c>
      <c r="H19" t="n">
        <v>0</v>
      </c>
      <c r="I19" t="n">
        <v>0</v>
      </c>
      <c r="J19" t="n">
        <v>0</v>
      </c>
      <c r="K19" t="n">
        <v>0</v>
      </c>
      <c r="L19" t="n">
        <v>2</v>
      </c>
      <c r="M19" t="n">
        <v>0</v>
      </c>
      <c r="N19" t="n">
        <v>1</v>
      </c>
      <c r="O19" t="n">
        <v>0</v>
      </c>
      <c r="P19" s="7">
        <f>IF(SUM(H19:K19)=0,"",H19/SUM(H19:K19))</f>
        <v/>
      </c>
      <c r="Q19" s="7">
        <f>IF(SUM(H19:K19)=0,"",I19/SUM(H19:K19))</f>
        <v/>
      </c>
      <c r="R19" s="7">
        <f>IF(SUM(H19:K19)=0,"",J19/SUM(H19:K19))</f>
        <v/>
      </c>
      <c r="S19" s="7">
        <f>IF(SUM(H19:K19)=0,"",K19/SUM(H19:K19))</f>
        <v/>
      </c>
      <c r="T19" s="7">
        <f>IF(SUM(L19:O19)=0,"",L19/SUM(L19:O19))</f>
        <v/>
      </c>
      <c r="U19" s="7">
        <f>IF(SUM(L19:O19)=0,"",M19/SUM(L19:O19))</f>
        <v/>
      </c>
      <c r="V19" s="7">
        <f>IF(SUM(L19:O19)=0,"",N19/SUM(L19:O19))</f>
        <v/>
      </c>
      <c r="W19" s="7">
        <f>IF(SUM(L19:O19)=0,"",O19/SUM(L19:O19))</f>
        <v/>
      </c>
    </row>
    <row r="20">
      <c r="A20" t="n">
        <v>22</v>
      </c>
      <c r="B20" t="inlineStr">
        <is>
          <t>This is a very unique group-and a lovely neighborhood of people-that learned to take care of each other.</t>
        </is>
      </c>
      <c r="C20" t="n">
        <v>1</v>
      </c>
      <c r="D20" t="n">
        <v>1</v>
      </c>
      <c r="E20" t="n">
        <v>0</v>
      </c>
      <c r="F20" t="n">
        <v>0</v>
      </c>
      <c r="G20" t="b">
        <v>1</v>
      </c>
      <c r="H20" t="n">
        <v>1</v>
      </c>
      <c r="I20" t="n">
        <v>0</v>
      </c>
      <c r="J20" t="n">
        <v>0</v>
      </c>
      <c r="K20" t="n">
        <v>2</v>
      </c>
      <c r="L20" t="n">
        <v>2</v>
      </c>
      <c r="M20" t="n">
        <v>0</v>
      </c>
      <c r="N20" t="n">
        <v>1</v>
      </c>
      <c r="O20" t="n">
        <v>0</v>
      </c>
      <c r="P20" s="7">
        <f>IF(SUM(H20:K20)=0,"",H20/SUM(H20:K20))</f>
        <v/>
      </c>
      <c r="Q20" s="7">
        <f>IF(SUM(H20:K20)=0,"",I20/SUM(H20:K20))</f>
        <v/>
      </c>
      <c r="R20" s="7">
        <f>IF(SUM(H20:K20)=0,"",J20/SUM(H20:K20))</f>
        <v/>
      </c>
      <c r="S20" s="7">
        <f>IF(SUM(H20:K20)=0,"",K20/SUM(H20:K20))</f>
        <v/>
      </c>
      <c r="T20" s="7">
        <f>IF(SUM(L20:O20)=0,"",L20/SUM(L20:O20))</f>
        <v/>
      </c>
      <c r="U20" s="7">
        <f>IF(SUM(L20:O20)=0,"",M20/SUM(L20:O20))</f>
        <v/>
      </c>
      <c r="V20" s="7">
        <f>IF(SUM(L20:O20)=0,"",N20/SUM(L20:O20))</f>
        <v/>
      </c>
      <c r="W20" s="7">
        <f>IF(SUM(L20:O20)=0,"",O20/SUM(L20:O20))</f>
        <v/>
      </c>
    </row>
    <row r="21">
      <c r="A21" t="n">
        <v>23</v>
      </c>
      <c r="B21" t="inlineStr">
        <is>
          <t>When there were floods, people made sure you were okay. If you didn't have food because your freezer was flooded, you would look up and someone had brought you food.</t>
        </is>
      </c>
      <c r="C21" t="n">
        <v>1</v>
      </c>
      <c r="D21" t="n">
        <v>1</v>
      </c>
      <c r="E21" t="n">
        <v>0</v>
      </c>
      <c r="F21" t="n">
        <v>0</v>
      </c>
      <c r="G21" t="b">
        <v>1</v>
      </c>
      <c r="H21" t="n">
        <v>1</v>
      </c>
      <c r="I21" t="n">
        <v>0</v>
      </c>
      <c r="J21" t="n">
        <v>0</v>
      </c>
      <c r="K21" t="n">
        <v>2</v>
      </c>
      <c r="L21" t="n">
        <v>2</v>
      </c>
      <c r="M21" t="n">
        <v>0</v>
      </c>
      <c r="N21" t="n">
        <v>1</v>
      </c>
      <c r="O21" t="n">
        <v>0</v>
      </c>
      <c r="P21" s="7">
        <f>IF(SUM(H21:K21)=0,"",H21/SUM(H21:K21))</f>
        <v/>
      </c>
      <c r="Q21" s="7">
        <f>IF(SUM(H21:K21)=0,"",I21/SUM(H21:K21))</f>
        <v/>
      </c>
      <c r="R21" s="7">
        <f>IF(SUM(H21:K21)=0,"",J21/SUM(H21:K21))</f>
        <v/>
      </c>
      <c r="S21" s="7">
        <f>IF(SUM(H21:K21)=0,"",K21/SUM(H21:K21))</f>
        <v/>
      </c>
      <c r="T21" s="7">
        <f>IF(SUM(L21:O21)=0,"",L21/SUM(L21:O21))</f>
        <v/>
      </c>
      <c r="U21" s="7">
        <f>IF(SUM(L21:O21)=0,"",M21/SUM(L21:O21))</f>
        <v/>
      </c>
      <c r="V21" s="7">
        <f>IF(SUM(L21:O21)=0,"",N21/SUM(L21:O21))</f>
        <v/>
      </c>
      <c r="W21" s="7">
        <f>IF(SUM(L21:O21)=0,"",O21/SUM(L21:O21))</f>
        <v/>
      </c>
    </row>
    <row r="22">
      <c r="A22" t="n">
        <v>24</v>
      </c>
      <c r="B22" t="inlineStr">
        <is>
          <t>Evanston has been a nonprofit haven to me.</t>
        </is>
      </c>
      <c r="C22" t="n">
        <v>0</v>
      </c>
      <c r="D22" t="n">
        <v>1</v>
      </c>
      <c r="E22" t="n">
        <v>0</v>
      </c>
      <c r="F22" t="n">
        <v>0</v>
      </c>
      <c r="G22" t="b">
        <v>0</v>
      </c>
      <c r="H22" t="n">
        <v>0</v>
      </c>
      <c r="I22" t="n">
        <v>0</v>
      </c>
      <c r="J22" t="n">
        <v>0</v>
      </c>
      <c r="K22" t="n">
        <v>0</v>
      </c>
      <c r="L22" t="n">
        <v>2</v>
      </c>
      <c r="M22" t="n">
        <v>0</v>
      </c>
      <c r="N22" t="n">
        <v>1</v>
      </c>
      <c r="O22" t="n">
        <v>0</v>
      </c>
      <c r="P22" s="7">
        <f>IF(SUM(H22:K22)=0,"",H22/SUM(H22:K22))</f>
        <v/>
      </c>
      <c r="Q22" s="7">
        <f>IF(SUM(H22:K22)=0,"",I22/SUM(H22:K22))</f>
        <v/>
      </c>
      <c r="R22" s="7">
        <f>IF(SUM(H22:K22)=0,"",J22/SUM(H22:K22))</f>
        <v/>
      </c>
      <c r="S22" s="7">
        <f>IF(SUM(H22:K22)=0,"",K22/SUM(H22:K22))</f>
        <v/>
      </c>
      <c r="T22" s="7">
        <f>IF(SUM(L22:O22)=0,"",L22/SUM(L22:O22))</f>
        <v/>
      </c>
      <c r="U22" s="7">
        <f>IF(SUM(L22:O22)=0,"",M22/SUM(L22:O22))</f>
        <v/>
      </c>
      <c r="V22" s="7">
        <f>IF(SUM(L22:O22)=0,"",N22/SUM(L22:O22))</f>
        <v/>
      </c>
      <c r="W22" s="7">
        <f>IF(SUM(L22:O22)=0,"",O22/SUM(L22:O22))</f>
        <v/>
      </c>
    </row>
    <row r="23">
      <c r="A23" t="n">
        <v>25</v>
      </c>
      <c r="B23" t="inlineStr">
        <is>
          <t>If there's something you want, there are some people here who will join you to try and make that happen.</t>
        </is>
      </c>
      <c r="C23" t="n">
        <v>0</v>
      </c>
      <c r="D23" t="n">
        <v>1</v>
      </c>
      <c r="E23" t="n">
        <v>0</v>
      </c>
      <c r="F23" t="n">
        <v>0</v>
      </c>
      <c r="G23" t="b">
        <v>0</v>
      </c>
      <c r="H23" t="n">
        <v>0</v>
      </c>
      <c r="I23" t="n">
        <v>0</v>
      </c>
      <c r="J23" t="n">
        <v>0</v>
      </c>
      <c r="K23" t="n">
        <v>0</v>
      </c>
      <c r="L23" t="n">
        <v>1</v>
      </c>
      <c r="M23" t="n">
        <v>0</v>
      </c>
      <c r="N23" t="n">
        <v>2</v>
      </c>
      <c r="O23" t="n">
        <v>0</v>
      </c>
      <c r="P23" s="7">
        <f>IF(SUM(H23:K23)=0,"",H23/SUM(H23:K23))</f>
        <v/>
      </c>
      <c r="Q23" s="7">
        <f>IF(SUM(H23:K23)=0,"",I23/SUM(H23:K23))</f>
        <v/>
      </c>
      <c r="R23" s="7">
        <f>IF(SUM(H23:K23)=0,"",J23/SUM(H23:K23))</f>
        <v/>
      </c>
      <c r="S23" s="7">
        <f>IF(SUM(H23:K23)=0,"",K23/SUM(H23:K23))</f>
        <v/>
      </c>
      <c r="T23" s="7">
        <f>IF(SUM(L23:O23)=0,"",L23/SUM(L23:O23))</f>
        <v/>
      </c>
      <c r="U23" s="7">
        <f>IF(SUM(L23:O23)=0,"",M23/SUM(L23:O23))</f>
        <v/>
      </c>
      <c r="V23" s="7">
        <f>IF(SUM(L23:O23)=0,"",N23/SUM(L23:O23))</f>
        <v/>
      </c>
      <c r="W23" s="7">
        <f>IF(SUM(L23:O23)=0,"",O23/SUM(L23:O23))</f>
        <v/>
      </c>
    </row>
    <row r="24">
      <c r="A24" t="n">
        <v>26</v>
      </c>
      <c r="B24" t="inlineStr">
        <is>
          <t>So, Evanston is unique in that.</t>
        </is>
      </c>
      <c r="C24" t="n">
        <v>0</v>
      </c>
      <c r="D24" t="n">
        <v>0</v>
      </c>
      <c r="E24" t="n">
        <v>0</v>
      </c>
      <c r="F24" t="n">
        <v>0</v>
      </c>
      <c r="G24" t="b">
        <v>0</v>
      </c>
      <c r="H24" t="n">
        <v>0</v>
      </c>
      <c r="I24" t="n">
        <v>0</v>
      </c>
      <c r="J24" t="n">
        <v>0</v>
      </c>
      <c r="K24" t="n">
        <v>0</v>
      </c>
      <c r="L24" t="n">
        <v>0</v>
      </c>
      <c r="M24" t="n">
        <v>0</v>
      </c>
      <c r="N24" t="n">
        <v>0</v>
      </c>
      <c r="O24" t="n">
        <v>0</v>
      </c>
      <c r="P24" s="7">
        <f>IF(SUM(H24:K24)=0,"",H24/SUM(H24:K24))</f>
        <v/>
      </c>
      <c r="Q24" s="7">
        <f>IF(SUM(H24:K24)=0,"",I24/SUM(H24:K24))</f>
        <v/>
      </c>
      <c r="R24" s="7">
        <f>IF(SUM(H24:K24)=0,"",J24/SUM(H24:K24))</f>
        <v/>
      </c>
      <c r="S24" s="7">
        <f>IF(SUM(H24:K24)=0,"",K24/SUM(H24:K24))</f>
        <v/>
      </c>
      <c r="T24" s="7">
        <f>IF(SUM(L24:O24)=0,"",L24/SUM(L24:O24))</f>
        <v/>
      </c>
      <c r="U24" s="7">
        <f>IF(SUM(L24:O24)=0,"",M24/SUM(L24:O24))</f>
        <v/>
      </c>
      <c r="V24" s="7">
        <f>IF(SUM(L24:O24)=0,"",N24/SUM(L24:O24))</f>
        <v/>
      </c>
      <c r="W24" s="7">
        <f>IF(SUM(L24:O24)=0,"",O24/SUM(L24:O24))</f>
        <v/>
      </c>
    </row>
    <row r="25">
      <c r="A25" t="n">
        <v>27</v>
      </c>
      <c r="B25" t="inlineStr">
        <is>
          <t>I think some people don't have empathy for others.</t>
        </is>
      </c>
      <c r="C25" t="n">
        <v>0</v>
      </c>
      <c r="D25" t="n">
        <v>1</v>
      </c>
      <c r="E25" t="n">
        <v>0</v>
      </c>
      <c r="F25" t="n">
        <v>0</v>
      </c>
      <c r="G25" t="b">
        <v>0</v>
      </c>
      <c r="H25" t="n">
        <v>0</v>
      </c>
      <c r="I25" t="n">
        <v>0</v>
      </c>
      <c r="J25" t="n">
        <v>0</v>
      </c>
      <c r="K25" t="n">
        <v>0</v>
      </c>
      <c r="L25" t="n">
        <v>0</v>
      </c>
      <c r="M25" t="n">
        <v>0</v>
      </c>
      <c r="N25" t="n">
        <v>1</v>
      </c>
      <c r="O25" t="n">
        <v>2</v>
      </c>
      <c r="P25" s="7">
        <f>IF(SUM(H25:K25)=0,"",H25/SUM(H25:K25))</f>
        <v/>
      </c>
      <c r="Q25" s="7">
        <f>IF(SUM(H25:K25)=0,"",I25/SUM(H25:K25))</f>
        <v/>
      </c>
      <c r="R25" s="7">
        <f>IF(SUM(H25:K25)=0,"",J25/SUM(H25:K25))</f>
        <v/>
      </c>
      <c r="S25" s="7">
        <f>IF(SUM(H25:K25)=0,"",K25/SUM(H25:K25))</f>
        <v/>
      </c>
      <c r="T25" s="7">
        <f>IF(SUM(L25:O25)=0,"",L25/SUM(L25:O25))</f>
        <v/>
      </c>
      <c r="U25" s="7">
        <f>IF(SUM(L25:O25)=0,"",M25/SUM(L25:O25))</f>
        <v/>
      </c>
      <c r="V25" s="7">
        <f>IF(SUM(L25:O25)=0,"",N25/SUM(L25:O25))</f>
        <v/>
      </c>
      <c r="W25" s="7">
        <f>IF(SUM(L25:O25)=0,"",O25/SUM(L25:O25))</f>
        <v/>
      </c>
    </row>
    <row r="26">
      <c r="A26" t="n">
        <v>28</v>
      </c>
      <c r="B26" t="inlineStr">
        <is>
          <t>How they got that way, I don't know.</t>
        </is>
      </c>
      <c r="C26" t="n">
        <v>0</v>
      </c>
      <c r="D26" t="n">
        <v>0</v>
      </c>
      <c r="E26" t="n">
        <v>0</v>
      </c>
      <c r="F26" t="n">
        <v>0</v>
      </c>
      <c r="G26" t="b">
        <v>0</v>
      </c>
      <c r="H26" t="n">
        <v>0</v>
      </c>
      <c r="I26" t="n">
        <v>0</v>
      </c>
      <c r="J26" t="n">
        <v>0</v>
      </c>
      <c r="K26" t="n">
        <v>0</v>
      </c>
      <c r="L26" t="n">
        <v>0</v>
      </c>
      <c r="M26" t="n">
        <v>0</v>
      </c>
      <c r="N26" t="n">
        <v>0</v>
      </c>
      <c r="O26" t="n">
        <v>0</v>
      </c>
      <c r="P26" s="7">
        <f>IF(SUM(H26:K26)=0,"",H26/SUM(H26:K26))</f>
        <v/>
      </c>
      <c r="Q26" s="7">
        <f>IF(SUM(H26:K26)=0,"",I26/SUM(H26:K26))</f>
        <v/>
      </c>
      <c r="R26" s="7">
        <f>IF(SUM(H26:K26)=0,"",J26/SUM(H26:K26))</f>
        <v/>
      </c>
      <c r="S26" s="7">
        <f>IF(SUM(H26:K26)=0,"",K26/SUM(H26:K26))</f>
        <v/>
      </c>
      <c r="T26" s="7">
        <f>IF(SUM(L26:O26)=0,"",L26/SUM(L26:O26))</f>
        <v/>
      </c>
      <c r="U26" s="7">
        <f>IF(SUM(L26:O26)=0,"",M26/SUM(L26:O26))</f>
        <v/>
      </c>
      <c r="V26" s="7">
        <f>IF(SUM(L26:O26)=0,"",N26/SUM(L26:O26))</f>
        <v/>
      </c>
      <c r="W26" s="7">
        <f>IF(SUM(L26:O26)=0,"",O26/SUM(L26:O26))</f>
        <v/>
      </c>
    </row>
    <row r="27">
      <c r="A27" t="n">
        <v>29</v>
      </c>
      <c r="B27" t="inlineStr">
        <is>
          <t>I don't understand not sharing.</t>
        </is>
      </c>
      <c r="C27" t="n">
        <v>0</v>
      </c>
      <c r="D27" t="n">
        <v>1</v>
      </c>
      <c r="E27" t="n">
        <v>0</v>
      </c>
      <c r="F27" t="n">
        <v>0</v>
      </c>
      <c r="G27" t="b">
        <v>0</v>
      </c>
      <c r="H27" t="n">
        <v>0</v>
      </c>
      <c r="I27" t="n">
        <v>0</v>
      </c>
      <c r="J27" t="n">
        <v>0</v>
      </c>
      <c r="K27" t="n">
        <v>0</v>
      </c>
      <c r="L27" t="n">
        <v>1</v>
      </c>
      <c r="M27" t="n">
        <v>0</v>
      </c>
      <c r="N27" t="n">
        <v>0</v>
      </c>
      <c r="O27" t="n">
        <v>2</v>
      </c>
      <c r="P27" s="7">
        <f>IF(SUM(H27:K27)=0,"",H27/SUM(H27:K27))</f>
        <v/>
      </c>
      <c r="Q27" s="7">
        <f>IF(SUM(H27:K27)=0,"",I27/SUM(H27:K27))</f>
        <v/>
      </c>
      <c r="R27" s="7">
        <f>IF(SUM(H27:K27)=0,"",J27/SUM(H27:K27))</f>
        <v/>
      </c>
      <c r="S27" s="7">
        <f>IF(SUM(H27:K27)=0,"",K27/SUM(H27:K27))</f>
        <v/>
      </c>
      <c r="T27" s="7">
        <f>IF(SUM(L27:O27)=0,"",L27/SUM(L27:O27))</f>
        <v/>
      </c>
      <c r="U27" s="7">
        <f>IF(SUM(L27:O27)=0,"",M27/SUM(L27:O27))</f>
        <v/>
      </c>
      <c r="V27" s="7">
        <f>IF(SUM(L27:O27)=0,"",N27/SUM(L27:O27))</f>
        <v/>
      </c>
      <c r="W27" s="7">
        <f>IF(SUM(L27:O27)=0,"",O27/SUM(L27:O27))</f>
        <v/>
      </c>
    </row>
    <row r="28">
      <c r="A28" t="n">
        <v>30</v>
      </c>
      <c r="B28" t="inlineStr">
        <is>
          <t>Have you thought about what you've done for others, other than your family?</t>
        </is>
      </c>
      <c r="C28" t="n">
        <v>0</v>
      </c>
      <c r="D28" t="n">
        <v>1</v>
      </c>
      <c r="E28" t="n">
        <v>0</v>
      </c>
      <c r="F28" t="n">
        <v>0</v>
      </c>
      <c r="G28" t="b">
        <v>0</v>
      </c>
      <c r="H28" t="n">
        <v>0</v>
      </c>
      <c r="I28" t="n">
        <v>0</v>
      </c>
      <c r="J28" t="n">
        <v>0</v>
      </c>
      <c r="K28" t="n">
        <v>0</v>
      </c>
      <c r="L28" t="n">
        <v>1</v>
      </c>
      <c r="M28" t="n">
        <v>0</v>
      </c>
      <c r="N28" t="n">
        <v>0</v>
      </c>
      <c r="O28" t="n">
        <v>2</v>
      </c>
      <c r="P28" s="7">
        <f>IF(SUM(H28:K28)=0,"",H28/SUM(H28:K28))</f>
        <v/>
      </c>
      <c r="Q28" s="7">
        <f>IF(SUM(H28:K28)=0,"",I28/SUM(H28:K28))</f>
        <v/>
      </c>
      <c r="R28" s="7">
        <f>IF(SUM(H28:K28)=0,"",J28/SUM(H28:K28))</f>
        <v/>
      </c>
      <c r="S28" s="7">
        <f>IF(SUM(H28:K28)=0,"",K28/SUM(H28:K28))</f>
        <v/>
      </c>
      <c r="T28" s="7">
        <f>IF(SUM(L28:O28)=0,"",L28/SUM(L28:O28))</f>
        <v/>
      </c>
      <c r="U28" s="7">
        <f>IF(SUM(L28:O28)=0,"",M28/SUM(L28:O28))</f>
        <v/>
      </c>
      <c r="V28" s="7">
        <f>IF(SUM(L28:O28)=0,"",N28/SUM(L28:O28))</f>
        <v/>
      </c>
      <c r="W28" s="7">
        <f>IF(SUM(L28:O28)=0,"",O28/SUM(L28:O28))</f>
        <v/>
      </c>
    </row>
    <row r="29">
      <c r="A29" t="n">
        <v>31</v>
      </c>
      <c r="B29" t="inlineStr">
        <is>
          <t>Our family is the family of man, no matter what color, no matter where you came from, or how old you are.'</t>
        </is>
      </c>
      <c r="C29" t="n">
        <v>1</v>
      </c>
      <c r="D29" t="n">
        <v>1</v>
      </c>
      <c r="E29" t="n">
        <v>0</v>
      </c>
      <c r="F29" t="n">
        <v>0</v>
      </c>
      <c r="G29" t="b">
        <v>1</v>
      </c>
      <c r="H29" t="n">
        <v>0</v>
      </c>
      <c r="I29" t="n">
        <v>0</v>
      </c>
      <c r="J29" t="n">
        <v>0</v>
      </c>
      <c r="K29" t="n">
        <v>2</v>
      </c>
      <c r="L29" t="n">
        <v>0</v>
      </c>
      <c r="M29" t="n">
        <v>0</v>
      </c>
      <c r="N29" t="n">
        <v>1</v>
      </c>
      <c r="O29" t="n">
        <v>2</v>
      </c>
      <c r="P29" s="7">
        <f>IF(SUM(H29:K29)=0,"",H29/SUM(H29:K29))</f>
        <v/>
      </c>
      <c r="Q29" s="7">
        <f>IF(SUM(H29:K29)=0,"",I29/SUM(H29:K29))</f>
        <v/>
      </c>
      <c r="R29" s="7">
        <f>IF(SUM(H29:K29)=0,"",J29/SUM(H29:K29))</f>
        <v/>
      </c>
      <c r="S29" s="7">
        <f>IF(SUM(H29:K29)=0,"",K29/SUM(H29:K29))</f>
        <v/>
      </c>
      <c r="T29" s="7">
        <f>IF(SUM(L29:O29)=0,"",L29/SUM(L29:O29))</f>
        <v/>
      </c>
      <c r="U29" s="7">
        <f>IF(SUM(L29:O29)=0,"",M29/SUM(L29:O29))</f>
        <v/>
      </c>
      <c r="V29" s="7">
        <f>IF(SUM(L29:O29)=0,"",N29/SUM(L29:O29))</f>
        <v/>
      </c>
      <c r="W29" s="7">
        <f>IF(SUM(L29:O29)=0,"",O29/SUM(L29:O29))</f>
        <v/>
      </c>
    </row>
    <row r="30">
      <c r="A30" t="n">
        <v>32</v>
      </c>
      <c r="B30" t="inlineStr">
        <is>
          <t>[community_foundation_tag] DIVERSITY IS [community_foundation_tag] STRENGTH</t>
        </is>
      </c>
      <c r="C30" t="n">
        <v>1</v>
      </c>
      <c r="D30" t="n">
        <v>1</v>
      </c>
      <c r="E30" t="n">
        <v>0</v>
      </c>
      <c r="F30" t="n">
        <v>0</v>
      </c>
      <c r="G30" t="b">
        <v>1</v>
      </c>
      <c r="H30" t="n">
        <v>0</v>
      </c>
      <c r="I30" t="n">
        <v>0</v>
      </c>
      <c r="J30" t="n">
        <v>0</v>
      </c>
      <c r="K30" t="n">
        <v>2</v>
      </c>
      <c r="L30" t="n">
        <v>0</v>
      </c>
      <c r="M30" t="n">
        <v>1</v>
      </c>
      <c r="N30" t="n">
        <v>0</v>
      </c>
      <c r="O30" t="n">
        <v>2</v>
      </c>
      <c r="P30" s="7">
        <f>IF(SUM(H30:K30)=0,"",H30/SUM(H30:K30))</f>
        <v/>
      </c>
      <c r="Q30" s="7">
        <f>IF(SUM(H30:K30)=0,"",I30/SUM(H30:K30))</f>
        <v/>
      </c>
      <c r="R30" s="7">
        <f>IF(SUM(H30:K30)=0,"",J30/SUM(H30:K30))</f>
        <v/>
      </c>
      <c r="S30" s="7">
        <f>IF(SUM(H30:K30)=0,"",K30/SUM(H30:K30))</f>
        <v/>
      </c>
      <c r="T30" s="7">
        <f>IF(SUM(L30:O30)=0,"",L30/SUM(L30:O30))</f>
        <v/>
      </c>
      <c r="U30" s="7">
        <f>IF(SUM(L30:O30)=0,"",M30/SUM(L30:O30))</f>
        <v/>
      </c>
      <c r="V30" s="7">
        <f>IF(SUM(L30:O30)=0,"",N30/SUM(L30:O30))</f>
        <v/>
      </c>
      <c r="W30" s="7">
        <f>IF(SUM(L30:O30)=0,"",O30/SUM(L30:O30))</f>
        <v/>
      </c>
    </row>
    <row r="31">
      <c r="A31" t="n">
        <v>33</v>
      </c>
      <c r="B31" t="inlineStr">
        <is>
          <t>'He vivido en Evanston por 21 años y por primera vez fui incluida en una consulta ciudadana en español para las familias vulnerables.</t>
        </is>
      </c>
      <c r="C31" t="n">
        <v>1</v>
      </c>
      <c r="D31" t="n">
        <v>1</v>
      </c>
      <c r="E31" t="n">
        <v>0</v>
      </c>
      <c r="F31" t="n">
        <v>0</v>
      </c>
      <c r="G31" t="b">
        <v>1</v>
      </c>
      <c r="H31" t="n">
        <v>0</v>
      </c>
      <c r="I31" t="n">
        <v>0</v>
      </c>
      <c r="J31" t="n">
        <v>0</v>
      </c>
      <c r="K31" t="n">
        <v>2</v>
      </c>
      <c r="L31" t="n">
        <v>0</v>
      </c>
      <c r="M31" t="n">
        <v>0</v>
      </c>
      <c r="N31" t="n">
        <v>1</v>
      </c>
      <c r="O31" t="n">
        <v>2</v>
      </c>
      <c r="P31" s="7">
        <f>IF(SUM(H31:K31)=0,"",H31/SUM(H31:K31))</f>
        <v/>
      </c>
      <c r="Q31" s="7">
        <f>IF(SUM(H31:K31)=0,"",I31/SUM(H31:K31))</f>
        <v/>
      </c>
      <c r="R31" s="7">
        <f>IF(SUM(H31:K31)=0,"",J31/SUM(H31:K31))</f>
        <v/>
      </c>
      <c r="S31" s="7">
        <f>IF(SUM(H31:K31)=0,"",K31/SUM(H31:K31))</f>
        <v/>
      </c>
      <c r="T31" s="7">
        <f>IF(SUM(L31:O31)=0,"",L31/SUM(L31:O31))</f>
        <v/>
      </c>
      <c r="U31" s="7">
        <f>IF(SUM(L31:O31)=0,"",M31/SUM(L31:O31))</f>
        <v/>
      </c>
      <c r="V31" s="7">
        <f>IF(SUM(L31:O31)=0,"",N31/SUM(L31:O31))</f>
        <v/>
      </c>
      <c r="W31" s="7">
        <f>IF(SUM(L31:O31)=0,"",O31/SUM(L31:O31))</f>
        <v/>
      </c>
    </row>
    <row r="32">
      <c r="A32" t="n">
        <v>34</v>
      </c>
      <c r="B32" t="inlineStr">
        <is>
          <t>Evanston es una comunidad diversa que necesita implementar la igualdad y la equidad para todos sus residentes utilizando sus recursos.'</t>
        </is>
      </c>
      <c r="C32" t="n">
        <v>1</v>
      </c>
      <c r="D32" t="n">
        <v>1</v>
      </c>
      <c r="E32" t="n">
        <v>0</v>
      </c>
      <c r="F32" t="n">
        <v>0</v>
      </c>
      <c r="G32" t="b">
        <v>1</v>
      </c>
      <c r="H32" t="n">
        <v>0</v>
      </c>
      <c r="I32" t="n">
        <v>0</v>
      </c>
      <c r="J32" t="n">
        <v>0</v>
      </c>
      <c r="K32" t="n">
        <v>2</v>
      </c>
      <c r="L32" t="n">
        <v>1</v>
      </c>
      <c r="M32" t="n">
        <v>0</v>
      </c>
      <c r="N32" t="n">
        <v>0</v>
      </c>
      <c r="O32" t="n">
        <v>2</v>
      </c>
      <c r="P32" s="7">
        <f>IF(SUM(H32:K32)=0,"",H32/SUM(H32:K32))</f>
        <v/>
      </c>
      <c r="Q32" s="7">
        <f>IF(SUM(H32:K32)=0,"",I32/SUM(H32:K32))</f>
        <v/>
      </c>
      <c r="R32" s="7">
        <f>IF(SUM(H32:K32)=0,"",J32/SUM(H32:K32))</f>
        <v/>
      </c>
      <c r="S32" s="7">
        <f>IF(SUM(H32:K32)=0,"",K32/SUM(H32:K32))</f>
        <v/>
      </c>
      <c r="T32" s="7">
        <f>IF(SUM(L32:O32)=0,"",L32/SUM(L32:O32))</f>
        <v/>
      </c>
      <c r="U32" s="7">
        <f>IF(SUM(L32:O32)=0,"",M32/SUM(L32:O32))</f>
        <v/>
      </c>
      <c r="V32" s="7">
        <f>IF(SUM(L32:O32)=0,"",N32/SUM(L32:O32))</f>
        <v/>
      </c>
      <c r="W32" s="7">
        <f>IF(SUM(L32:O32)=0,"",O32/SUM(L32:O32))</f>
        <v/>
      </c>
    </row>
    <row r="33">
      <c r="A33" t="n">
        <v>35</v>
      </c>
      <c r="B33" t="inlineStr">
        <is>
          <t>[individual_tag], Delegate/Team Builder</t>
        </is>
      </c>
      <c r="C33" t="n">
        <v>0</v>
      </c>
      <c r="D33" t="n">
        <v>0</v>
      </c>
      <c r="E33" t="n">
        <v>0</v>
      </c>
      <c r="F33" t="n">
        <v>0</v>
      </c>
      <c r="G33" t="b">
        <v>0</v>
      </c>
      <c r="H33" t="n">
        <v>0</v>
      </c>
      <c r="I33" t="n">
        <v>0</v>
      </c>
      <c r="J33" t="n">
        <v>0</v>
      </c>
      <c r="K33" t="n">
        <v>0</v>
      </c>
      <c r="L33" t="n">
        <v>0</v>
      </c>
      <c r="M33" t="n">
        <v>0</v>
      </c>
      <c r="N33" t="n">
        <v>0</v>
      </c>
      <c r="O33" t="n">
        <v>0</v>
      </c>
      <c r="P33" s="7">
        <f>IF(SUM(H33:K33)=0,"",H33/SUM(H33:K33))</f>
        <v/>
      </c>
      <c r="Q33" s="7">
        <f>IF(SUM(H33:K33)=0,"",I33/SUM(H33:K33))</f>
        <v/>
      </c>
      <c r="R33" s="7">
        <f>IF(SUM(H33:K33)=0,"",J33/SUM(H33:K33))</f>
        <v/>
      </c>
      <c r="S33" s="7">
        <f>IF(SUM(H33:K33)=0,"",K33/SUM(H33:K33))</f>
        <v/>
      </c>
      <c r="T33" s="7">
        <f>IF(SUM(L33:O33)=0,"",L33/SUM(L33:O33))</f>
        <v/>
      </c>
      <c r="U33" s="7">
        <f>IF(SUM(L33:O33)=0,"",M33/SUM(L33:O33))</f>
        <v/>
      </c>
      <c r="V33" s="7">
        <f>IF(SUM(L33:O33)=0,"",N33/SUM(L33:O33))</f>
        <v/>
      </c>
      <c r="W33" s="7">
        <f>IF(SUM(L33:O33)=0,"",O33/SUM(L33:O33))</f>
        <v/>
      </c>
    </row>
    <row r="34">
      <c r="A34" t="n">
        <v>36</v>
      </c>
      <c r="B34" t="inlineStr">
        <is>
          <t>POWER-PAC IL/Community Organizing and Family Issues (COFI)</t>
        </is>
      </c>
      <c r="C34" t="n">
        <v>0</v>
      </c>
      <c r="D34" t="n">
        <v>1</v>
      </c>
      <c r="E34" t="n">
        <v>0</v>
      </c>
      <c r="F34" t="n">
        <v>0</v>
      </c>
      <c r="G34" t="b">
        <v>0</v>
      </c>
      <c r="H34" t="n">
        <v>0</v>
      </c>
      <c r="I34" t="n">
        <v>0</v>
      </c>
      <c r="J34" t="n">
        <v>0</v>
      </c>
      <c r="K34" t="n">
        <v>0</v>
      </c>
      <c r="L34" t="n">
        <v>0</v>
      </c>
      <c r="M34" t="n">
        <v>0</v>
      </c>
      <c r="N34" t="n">
        <v>1</v>
      </c>
      <c r="O34" t="n">
        <v>2</v>
      </c>
      <c r="P34" s="7">
        <f>IF(SUM(H34:K34)=0,"",H34/SUM(H34:K34))</f>
        <v/>
      </c>
      <c r="Q34" s="7">
        <f>IF(SUM(H34:K34)=0,"",I34/SUM(H34:K34))</f>
        <v/>
      </c>
      <c r="R34" s="7">
        <f>IF(SUM(H34:K34)=0,"",J34/SUM(H34:K34))</f>
        <v/>
      </c>
      <c r="S34" s="7">
        <f>IF(SUM(H34:K34)=0,"",K34/SUM(H34:K34))</f>
        <v/>
      </c>
      <c r="T34" s="7">
        <f>IF(SUM(L34:O34)=0,"",L34/SUM(L34:O34))</f>
        <v/>
      </c>
      <c r="U34" s="7">
        <f>IF(SUM(L34:O34)=0,"",M34/SUM(L34:O34))</f>
        <v/>
      </c>
      <c r="V34" s="7">
        <f>IF(SUM(L34:O34)=0,"",N34/SUM(L34:O34))</f>
        <v/>
      </c>
      <c r="W34" s="7">
        <f>IF(SUM(L34:O34)=0,"",O34/SUM(L34:O34))</f>
        <v/>
      </c>
    </row>
    <row r="35">
      <c r="A35" t="n">
        <v>37</v>
      </c>
      <c r="B35" t="inlineStr">
        <is>
          <t>Bringing diverse voices to the table</t>
        </is>
      </c>
      <c r="C35" t="n">
        <v>1</v>
      </c>
      <c r="D35" t="n">
        <v>0</v>
      </c>
      <c r="E35" t="n">
        <v>0</v>
      </c>
      <c r="F35" t="n">
        <v>0</v>
      </c>
      <c r="G35" t="b">
        <v>0</v>
      </c>
      <c r="H35" t="n">
        <v>0</v>
      </c>
      <c r="I35" t="n">
        <v>0</v>
      </c>
      <c r="J35" t="n">
        <v>1</v>
      </c>
      <c r="K35" t="n">
        <v>2</v>
      </c>
      <c r="L35" t="n">
        <v>0</v>
      </c>
      <c r="M35" t="n">
        <v>0</v>
      </c>
      <c r="N35" t="n">
        <v>0</v>
      </c>
      <c r="O35" t="n">
        <v>0</v>
      </c>
      <c r="P35" s="7">
        <f>IF(SUM(H35:K35)=0,"",H35/SUM(H35:K35))</f>
        <v/>
      </c>
      <c r="Q35" s="7">
        <f>IF(SUM(H35:K35)=0,"",I35/SUM(H35:K35))</f>
        <v/>
      </c>
      <c r="R35" s="7">
        <f>IF(SUM(H35:K35)=0,"",J35/SUM(H35:K35))</f>
        <v/>
      </c>
      <c r="S35" s="7">
        <f>IF(SUM(H35:K35)=0,"",K35/SUM(H35:K35))</f>
        <v/>
      </c>
      <c r="T35" s="7">
        <f>IF(SUM(L35:O35)=0,"",L35/SUM(L35:O35))</f>
        <v/>
      </c>
      <c r="U35" s="7">
        <f>IF(SUM(L35:O35)=0,"",M35/SUM(L35:O35))</f>
        <v/>
      </c>
      <c r="V35" s="7">
        <f>IF(SUM(L35:O35)=0,"",N35/SUM(L35:O35))</f>
        <v/>
      </c>
      <c r="W35" s="7">
        <f>IF(SUM(L35:O35)=0,"",O35/SUM(L35:O35))</f>
        <v/>
      </c>
    </row>
    <row r="36">
      <c r="A36" t="n">
        <v>38</v>
      </c>
      <c r="B36" t="inlineStr">
        <is>
          <t>The pandemic has brought opportunities to Evanston, along with challenges.</t>
        </is>
      </c>
      <c r="C36" t="n">
        <v>0</v>
      </c>
      <c r="D36" t="n">
        <v>0</v>
      </c>
      <c r="E36" t="n">
        <v>0</v>
      </c>
      <c r="F36" t="n">
        <v>0</v>
      </c>
      <c r="G36" t="b">
        <v>0</v>
      </c>
      <c r="H36" t="n">
        <v>0</v>
      </c>
      <c r="I36" t="n">
        <v>0</v>
      </c>
      <c r="J36" t="n">
        <v>0</v>
      </c>
      <c r="K36" t="n">
        <v>0</v>
      </c>
      <c r="L36" t="n">
        <v>0</v>
      </c>
      <c r="M36" t="n">
        <v>0</v>
      </c>
      <c r="N36" t="n">
        <v>0</v>
      </c>
      <c r="O36" t="n">
        <v>0</v>
      </c>
      <c r="P36" s="7">
        <f>IF(SUM(H36:K36)=0,"",H36/SUM(H36:K36))</f>
        <v/>
      </c>
      <c r="Q36" s="7">
        <f>IF(SUM(H36:K36)=0,"",I36/SUM(H36:K36))</f>
        <v/>
      </c>
      <c r="R36" s="7">
        <f>IF(SUM(H36:K36)=0,"",J36/SUM(H36:K36))</f>
        <v/>
      </c>
      <c r="S36" s="7">
        <f>IF(SUM(H36:K36)=0,"",K36/SUM(H36:K36))</f>
        <v/>
      </c>
      <c r="T36" s="7">
        <f>IF(SUM(L36:O36)=0,"",L36/SUM(L36:O36))</f>
        <v/>
      </c>
      <c r="U36" s="7">
        <f>IF(SUM(L36:O36)=0,"",M36/SUM(L36:O36))</f>
        <v/>
      </c>
      <c r="V36" s="7">
        <f>IF(SUM(L36:O36)=0,"",N36/SUM(L36:O36))</f>
        <v/>
      </c>
      <c r="W36" s="7">
        <f>IF(SUM(L36:O36)=0,"",O36/SUM(L36:O36))</f>
        <v/>
      </c>
    </row>
    <row r="37">
      <c r="A37" t="n">
        <v>39</v>
      </c>
      <c r="B37" t="inlineStr">
        <is>
          <t>Making decisions wisely means that it's important that the broadest and deepest set of community voices be heard.</t>
        </is>
      </c>
      <c r="C37" t="n">
        <v>1</v>
      </c>
      <c r="D37" t="n">
        <v>1</v>
      </c>
      <c r="E37" t="n">
        <v>0</v>
      </c>
      <c r="F37" t="n">
        <v>0</v>
      </c>
      <c r="G37" t="b">
        <v>1</v>
      </c>
      <c r="H37" t="n">
        <v>0</v>
      </c>
      <c r="I37" t="n">
        <v>0</v>
      </c>
      <c r="J37" t="n">
        <v>1</v>
      </c>
      <c r="K37" t="n">
        <v>2</v>
      </c>
      <c r="L37" t="n">
        <v>0</v>
      </c>
      <c r="M37" t="n">
        <v>0</v>
      </c>
      <c r="N37" t="n">
        <v>1</v>
      </c>
      <c r="O37" t="n">
        <v>2</v>
      </c>
      <c r="P37" s="7">
        <f>IF(SUM(H37:K37)=0,"",H37/SUM(H37:K37))</f>
        <v/>
      </c>
      <c r="Q37" s="7">
        <f>IF(SUM(H37:K37)=0,"",I37/SUM(H37:K37))</f>
        <v/>
      </c>
      <c r="R37" s="7">
        <f>IF(SUM(H37:K37)=0,"",J37/SUM(H37:K37))</f>
        <v/>
      </c>
      <c r="S37" s="7">
        <f>IF(SUM(H37:K37)=0,"",K37/SUM(H37:K37))</f>
        <v/>
      </c>
      <c r="T37" s="7">
        <f>IF(SUM(L37:O37)=0,"",L37/SUM(L37:O37))</f>
        <v/>
      </c>
      <c r="U37" s="7">
        <f>IF(SUM(L37:O37)=0,"",M37/SUM(L37:O37))</f>
        <v/>
      </c>
      <c r="V37" s="7">
        <f>IF(SUM(L37:O37)=0,"",N37/SUM(L37:O37))</f>
        <v/>
      </c>
      <c r="W37" s="7">
        <f>IF(SUM(L37:O37)=0,"",O37/SUM(L37:O37))</f>
        <v/>
      </c>
    </row>
    <row r="38">
      <c r="A38" t="n">
        <v>40</v>
      </c>
      <c r="B38" t="inlineStr">
        <is>
          <t>The American Rescue Plan Act of 2021 (ARPA) allocated $43 million to be spent over five years in the City of Evanston.</t>
        </is>
      </c>
      <c r="C38" t="n">
        <v>1</v>
      </c>
      <c r="D38" t="n">
        <v>0</v>
      </c>
      <c r="E38" t="n">
        <v>0</v>
      </c>
      <c r="F38" t="n">
        <v>0</v>
      </c>
      <c r="G38" t="b">
        <v>0</v>
      </c>
      <c r="H38" t="n">
        <v>0</v>
      </c>
      <c r="I38" t="n">
        <v>0</v>
      </c>
      <c r="J38" t="n">
        <v>2</v>
      </c>
      <c r="K38" t="n">
        <v>0</v>
      </c>
      <c r="L38" t="n">
        <v>0</v>
      </c>
      <c r="M38" t="n">
        <v>0</v>
      </c>
      <c r="N38" t="n">
        <v>0</v>
      </c>
      <c r="O38" t="n">
        <v>0</v>
      </c>
      <c r="P38" s="7">
        <f>IF(SUM(H38:K38)=0,"",H38/SUM(H38:K38))</f>
        <v/>
      </c>
      <c r="Q38" s="7">
        <f>IF(SUM(H38:K38)=0,"",I38/SUM(H38:K38))</f>
        <v/>
      </c>
      <c r="R38" s="7">
        <f>IF(SUM(H38:K38)=0,"",J38/SUM(H38:K38))</f>
        <v/>
      </c>
      <c r="S38" s="7">
        <f>IF(SUM(H38:K38)=0,"",K38/SUM(H38:K38))</f>
        <v/>
      </c>
      <c r="T38" s="7">
        <f>IF(SUM(L38:O38)=0,"",L38/SUM(L38:O38))</f>
        <v/>
      </c>
      <c r="U38" s="7">
        <f>IF(SUM(L38:O38)=0,"",M38/SUM(L38:O38))</f>
        <v/>
      </c>
      <c r="V38" s="7">
        <f>IF(SUM(L38:O38)=0,"",N38/SUM(L38:O38))</f>
        <v/>
      </c>
      <c r="W38" s="7">
        <f>IF(SUM(L38:O38)=0,"",O38/SUM(L38:O38))</f>
        <v/>
      </c>
    </row>
    <row r="39">
      <c r="A39" t="n">
        <v>41</v>
      </c>
      <c r="B39" t="inlineStr">
        <is>
          <t>To determine the best and most impactful ways to deploy these funds meant bringing the community together.</t>
        </is>
      </c>
      <c r="C39" t="n">
        <v>1</v>
      </c>
      <c r="D39" t="n">
        <v>1</v>
      </c>
      <c r="E39" t="n">
        <v>0</v>
      </c>
      <c r="F39" t="n">
        <v>0</v>
      </c>
      <c r="G39" t="b">
        <v>1</v>
      </c>
      <c r="H39" t="n">
        <v>0</v>
      </c>
      <c r="I39" t="n">
        <v>0</v>
      </c>
      <c r="J39" t="n">
        <v>2</v>
      </c>
      <c r="K39" t="n">
        <v>0</v>
      </c>
      <c r="L39" t="n">
        <v>0</v>
      </c>
      <c r="M39" t="n">
        <v>0</v>
      </c>
      <c r="N39" t="n">
        <v>2</v>
      </c>
      <c r="O39" t="n">
        <v>1</v>
      </c>
      <c r="P39" s="7">
        <f>IF(SUM(H39:K39)=0,"",H39/SUM(H39:K39))</f>
        <v/>
      </c>
      <c r="Q39" s="7">
        <f>IF(SUM(H39:K39)=0,"",I39/SUM(H39:K39))</f>
        <v/>
      </c>
      <c r="R39" s="7">
        <f>IF(SUM(H39:K39)=0,"",J39/SUM(H39:K39))</f>
        <v/>
      </c>
      <c r="S39" s="7">
        <f>IF(SUM(H39:K39)=0,"",K39/SUM(H39:K39))</f>
        <v/>
      </c>
      <c r="T39" s="7">
        <f>IF(SUM(L39:O39)=0,"",L39/SUM(L39:O39))</f>
        <v/>
      </c>
      <c r="U39" s="7">
        <f>IF(SUM(L39:O39)=0,"",M39/SUM(L39:O39))</f>
        <v/>
      </c>
      <c r="V39" s="7">
        <f>IF(SUM(L39:O39)=0,"",N39/SUM(L39:O39))</f>
        <v/>
      </c>
      <c r="W39" s="7">
        <f>IF(SUM(L39:O39)=0,"",O39/SUM(L39:O39))</f>
        <v/>
      </c>
    </row>
    <row r="40">
      <c r="A40" t="n">
        <v>42</v>
      </c>
      <c r="B40" t="inlineStr">
        <is>
          <t>[community_foundation_tag] was proud to play an integral role in convening these voices.</t>
        </is>
      </c>
      <c r="C40" t="n">
        <v>1</v>
      </c>
      <c r="D40" t="n">
        <v>1</v>
      </c>
      <c r="E40" t="n">
        <v>0</v>
      </c>
      <c r="F40" t="n">
        <v>0</v>
      </c>
      <c r="G40" t="b">
        <v>1</v>
      </c>
      <c r="H40" t="n">
        <v>0</v>
      </c>
      <c r="I40" t="n">
        <v>0</v>
      </c>
      <c r="J40" t="n">
        <v>2</v>
      </c>
      <c r="K40" t="n">
        <v>0</v>
      </c>
      <c r="L40" t="n">
        <v>0</v>
      </c>
      <c r="M40" t="n">
        <v>0</v>
      </c>
      <c r="N40" t="n">
        <v>2</v>
      </c>
      <c r="O40" t="n">
        <v>1</v>
      </c>
      <c r="P40" s="7">
        <f>IF(SUM(H40:K40)=0,"",H40/SUM(H40:K40))</f>
        <v/>
      </c>
      <c r="Q40" s="7">
        <f>IF(SUM(H40:K40)=0,"",I40/SUM(H40:K40))</f>
        <v/>
      </c>
      <c r="R40" s="7">
        <f>IF(SUM(H40:K40)=0,"",J40/SUM(H40:K40))</f>
        <v/>
      </c>
      <c r="S40" s="7">
        <f>IF(SUM(H40:K40)=0,"",K40/SUM(H40:K40))</f>
        <v/>
      </c>
      <c r="T40" s="7">
        <f>IF(SUM(L40:O40)=0,"",L40/SUM(L40:O40))</f>
        <v/>
      </c>
      <c r="U40" s="7">
        <f>IF(SUM(L40:O40)=0,"",M40/SUM(L40:O40))</f>
        <v/>
      </c>
      <c r="V40" s="7">
        <f>IF(SUM(L40:O40)=0,"",N40/SUM(L40:O40))</f>
        <v/>
      </c>
      <c r="W40" s="7">
        <f>IF(SUM(L40:O40)=0,"",O40/SUM(L40:O40))</f>
        <v/>
      </c>
    </row>
    <row r="41">
      <c r="A41" t="n">
        <v>43</v>
      </c>
      <c r="B41" t="inlineStr">
        <is>
          <t>During the summer of 2021, the City hosted three town halls, two in English and one in Spanish.</t>
        </is>
      </c>
      <c r="C41" t="n">
        <v>0</v>
      </c>
      <c r="D41" t="n">
        <v>0</v>
      </c>
      <c r="E41" t="n">
        <v>0</v>
      </c>
      <c r="F41" t="n">
        <v>0</v>
      </c>
      <c r="G41" t="b">
        <v>0</v>
      </c>
      <c r="H41" t="n">
        <v>0</v>
      </c>
      <c r="I41" t="n">
        <v>0</v>
      </c>
      <c r="J41" t="n">
        <v>0</v>
      </c>
      <c r="K41" t="n">
        <v>0</v>
      </c>
      <c r="L41" t="n">
        <v>0</v>
      </c>
      <c r="M41" t="n">
        <v>0</v>
      </c>
      <c r="N41" t="n">
        <v>0</v>
      </c>
      <c r="O41" t="n">
        <v>0</v>
      </c>
      <c r="P41" s="7">
        <f>IF(SUM(H41:K41)=0,"",H41/SUM(H41:K41))</f>
        <v/>
      </c>
      <c r="Q41" s="7">
        <f>IF(SUM(H41:K41)=0,"",I41/SUM(H41:K41))</f>
        <v/>
      </c>
      <c r="R41" s="7">
        <f>IF(SUM(H41:K41)=0,"",J41/SUM(H41:K41))</f>
        <v/>
      </c>
      <c r="S41" s="7">
        <f>IF(SUM(H41:K41)=0,"",K41/SUM(H41:K41))</f>
        <v/>
      </c>
      <c r="T41" s="7">
        <f>IF(SUM(L41:O41)=0,"",L41/SUM(L41:O41))</f>
        <v/>
      </c>
      <c r="U41" s="7">
        <f>IF(SUM(L41:O41)=0,"",M41/SUM(L41:O41))</f>
        <v/>
      </c>
      <c r="V41" s="7">
        <f>IF(SUM(L41:O41)=0,"",N41/SUM(L41:O41))</f>
        <v/>
      </c>
      <c r="W41" s="7">
        <f>IF(SUM(L41:O41)=0,"",O41/SUM(L41:O41))</f>
        <v/>
      </c>
    </row>
    <row r="42">
      <c r="A42" t="n">
        <v>44</v>
      </c>
      <c r="B42" t="inlineStr">
        <is>
          <t>[community_foundation_tag] with Evanston Latinos and the Evanston Early Childhood Council partnered to ensure that all community members had a voice in these discussions.</t>
        </is>
      </c>
      <c r="C42" t="n">
        <v>1</v>
      </c>
      <c r="D42" t="n">
        <v>2</v>
      </c>
      <c r="E42" t="n">
        <v>0</v>
      </c>
      <c r="F42" t="n">
        <v>0</v>
      </c>
      <c r="G42" t="b">
        <v>1</v>
      </c>
      <c r="H42" t="n">
        <v>0</v>
      </c>
      <c r="I42" t="n">
        <v>0</v>
      </c>
      <c r="J42" t="n">
        <v>1</v>
      </c>
      <c r="K42" t="n">
        <v>2</v>
      </c>
      <c r="L42" t="n">
        <v>0</v>
      </c>
      <c r="M42" t="n">
        <v>0</v>
      </c>
      <c r="N42" t="n">
        <v>4</v>
      </c>
      <c r="O42" t="n">
        <v>2</v>
      </c>
      <c r="P42" s="7">
        <f>IF(SUM(H42:K42)=0,"",H42/SUM(H42:K42))</f>
        <v/>
      </c>
      <c r="Q42" s="7">
        <f>IF(SUM(H42:K42)=0,"",I42/SUM(H42:K42))</f>
        <v/>
      </c>
      <c r="R42" s="7">
        <f>IF(SUM(H42:K42)=0,"",J42/SUM(H42:K42))</f>
        <v/>
      </c>
      <c r="S42" s="7">
        <f>IF(SUM(H42:K42)=0,"",K42/SUM(H42:K42))</f>
        <v/>
      </c>
      <c r="T42" s="7">
        <f>IF(SUM(L42:O42)=0,"",L42/SUM(L42:O42))</f>
        <v/>
      </c>
      <c r="U42" s="7">
        <f>IF(SUM(L42:O42)=0,"",M42/SUM(L42:O42))</f>
        <v/>
      </c>
      <c r="V42" s="7">
        <f>IF(SUM(L42:O42)=0,"",N42/SUM(L42:O42))</f>
        <v/>
      </c>
      <c r="W42" s="7">
        <f>IF(SUM(L42:O42)=0,"",O42/SUM(L42:O42))</f>
        <v/>
      </c>
    </row>
    <row r="43">
      <c r="A43" t="n">
        <v>45</v>
      </c>
      <c r="B43" t="inlineStr">
        <is>
          <t>More than 300 community members participated in these discussions.</t>
        </is>
      </c>
      <c r="C43" t="n">
        <v>0</v>
      </c>
      <c r="D43" t="n">
        <v>1</v>
      </c>
      <c r="E43" t="n">
        <v>0</v>
      </c>
      <c r="F43" t="n">
        <v>0</v>
      </c>
      <c r="G43" t="b">
        <v>0</v>
      </c>
      <c r="H43" t="n">
        <v>0</v>
      </c>
      <c r="I43" t="n">
        <v>0</v>
      </c>
      <c r="J43" t="n">
        <v>0</v>
      </c>
      <c r="K43" t="n">
        <v>0</v>
      </c>
      <c r="L43" t="n">
        <v>0</v>
      </c>
      <c r="M43" t="n">
        <v>0</v>
      </c>
      <c r="N43" t="n">
        <v>2</v>
      </c>
      <c r="O43" t="n">
        <v>1</v>
      </c>
      <c r="P43" s="7">
        <f>IF(SUM(H43:K43)=0,"",H43/SUM(H43:K43))</f>
        <v/>
      </c>
      <c r="Q43" s="7">
        <f>IF(SUM(H43:K43)=0,"",I43/SUM(H43:K43))</f>
        <v/>
      </c>
      <c r="R43" s="7">
        <f>IF(SUM(H43:K43)=0,"",J43/SUM(H43:K43))</f>
        <v/>
      </c>
      <c r="S43" s="7">
        <f>IF(SUM(H43:K43)=0,"",K43/SUM(H43:K43))</f>
        <v/>
      </c>
      <c r="T43" s="7">
        <f>IF(SUM(L43:O43)=0,"",L43/SUM(L43:O43))</f>
        <v/>
      </c>
      <c r="U43" s="7">
        <f>IF(SUM(L43:O43)=0,"",M43/SUM(L43:O43))</f>
        <v/>
      </c>
      <c r="V43" s="7">
        <f>IF(SUM(L43:O43)=0,"",N43/SUM(L43:O43))</f>
        <v/>
      </c>
      <c r="W43" s="7">
        <f>IF(SUM(L43:O43)=0,"",O43/SUM(L43:O43))</f>
        <v/>
      </c>
    </row>
    <row r="44">
      <c r="A44" t="n">
        <v>46</v>
      </c>
      <c r="B44" t="inlineStr">
        <is>
          <t>[community_foundation_tag] led a coalition with Evanston Cradle to Career and Northwestern University to hold seven roundtables, each organized around a sector, as well as a youth town hall and a survey of ETHS students.</t>
        </is>
      </c>
      <c r="C44" t="n">
        <v>1</v>
      </c>
      <c r="D44" t="n">
        <v>2</v>
      </c>
      <c r="E44" t="n">
        <v>0</v>
      </c>
      <c r="F44" t="n">
        <v>0</v>
      </c>
      <c r="G44" t="b">
        <v>1</v>
      </c>
      <c r="H44" t="n">
        <v>0</v>
      </c>
      <c r="I44" t="n">
        <v>0</v>
      </c>
      <c r="J44" t="n">
        <v>2</v>
      </c>
      <c r="K44" t="n">
        <v>0</v>
      </c>
      <c r="L44" t="n">
        <v>0</v>
      </c>
      <c r="M44" t="n">
        <v>0</v>
      </c>
      <c r="N44" t="n">
        <v>4</v>
      </c>
      <c r="O44" t="n">
        <v>2</v>
      </c>
      <c r="P44" s="7">
        <f>IF(SUM(H44:K44)=0,"",H44/SUM(H44:K44))</f>
        <v/>
      </c>
      <c r="Q44" s="7">
        <f>IF(SUM(H44:K44)=0,"",I44/SUM(H44:K44))</f>
        <v/>
      </c>
      <c r="R44" s="7">
        <f>IF(SUM(H44:K44)=0,"",J44/SUM(H44:K44))</f>
        <v/>
      </c>
      <c r="S44" s="7">
        <f>IF(SUM(H44:K44)=0,"",K44/SUM(H44:K44))</f>
        <v/>
      </c>
      <c r="T44" s="7">
        <f>IF(SUM(L44:O44)=0,"",L44/SUM(L44:O44))</f>
        <v/>
      </c>
      <c r="U44" s="7">
        <f>IF(SUM(L44:O44)=0,"",M44/SUM(L44:O44))</f>
        <v/>
      </c>
      <c r="V44" s="7">
        <f>IF(SUM(L44:O44)=0,"",N44/SUM(L44:O44))</f>
        <v/>
      </c>
      <c r="W44" s="7">
        <f>IF(SUM(L44:O44)=0,"",O44/SUM(L44:O44))</f>
        <v/>
      </c>
    </row>
    <row r="45">
      <c r="A45" t="n">
        <v>47</v>
      </c>
      <c r="B45" t="inlineStr">
        <is>
          <t>169 people representing 62 organizations participated in the roundtables.</t>
        </is>
      </c>
      <c r="C45" t="n">
        <v>1</v>
      </c>
      <c r="D45" t="n">
        <v>1</v>
      </c>
      <c r="E45" t="n">
        <v>1</v>
      </c>
      <c r="F45" t="n">
        <v>0</v>
      </c>
      <c r="G45" t="b">
        <v>1</v>
      </c>
      <c r="H45" t="n">
        <v>0</v>
      </c>
      <c r="I45" t="n">
        <v>0</v>
      </c>
      <c r="J45" t="n">
        <v>0</v>
      </c>
      <c r="K45" t="n">
        <v>0</v>
      </c>
      <c r="L45" t="n">
        <v>0</v>
      </c>
      <c r="M45" t="n">
        <v>0</v>
      </c>
      <c r="N45" t="n">
        <v>2</v>
      </c>
      <c r="O45" t="n">
        <v>1</v>
      </c>
      <c r="P45" s="7">
        <f>IF(SUM(H45:K45)=0,"",H45/SUM(H45:K45))</f>
        <v/>
      </c>
      <c r="Q45" s="7">
        <f>IF(SUM(H45:K45)=0,"",I45/SUM(H45:K45))</f>
        <v/>
      </c>
      <c r="R45" s="7">
        <f>IF(SUM(H45:K45)=0,"",J45/SUM(H45:K45))</f>
        <v/>
      </c>
      <c r="S45" s="7">
        <f>IF(SUM(H45:K45)=0,"",K45/SUM(H45:K45))</f>
        <v/>
      </c>
      <c r="T45" s="7">
        <f>IF(SUM(L45:O45)=0,"",L45/SUM(L45:O45))</f>
        <v/>
      </c>
      <c r="U45" s="7">
        <f>IF(SUM(L45:O45)=0,"",M45/SUM(L45:O45))</f>
        <v/>
      </c>
      <c r="V45" s="7">
        <f>IF(SUM(L45:O45)=0,"",N45/SUM(L45:O45))</f>
        <v/>
      </c>
      <c r="W45" s="7">
        <f>IF(SUM(L45:O45)=0,"",O45/SUM(L45:O45))</f>
        <v/>
      </c>
    </row>
    <row r="46">
      <c r="A46" t="n">
        <v>48</v>
      </c>
      <c r="B46" t="inlineStr">
        <is>
          <t>It was vital to this process that one of the roundtables focused on the needs and assets of Evanston's immigrant and undocumented population and that one town hall was held in Spanish.</t>
        </is>
      </c>
      <c r="C46" t="n">
        <v>1</v>
      </c>
      <c r="D46" t="n">
        <v>2</v>
      </c>
      <c r="E46" t="n">
        <v>0</v>
      </c>
      <c r="F46" t="n">
        <v>0</v>
      </c>
      <c r="G46" t="b">
        <v>1</v>
      </c>
      <c r="H46" t="n">
        <v>0</v>
      </c>
      <c r="I46" t="n">
        <v>0</v>
      </c>
      <c r="J46" t="n">
        <v>1</v>
      </c>
      <c r="K46" t="n">
        <v>2</v>
      </c>
      <c r="L46" t="n">
        <v>0</v>
      </c>
      <c r="M46" t="n">
        <v>1</v>
      </c>
      <c r="N46" t="n">
        <v>1</v>
      </c>
      <c r="O46" t="n">
        <v>4</v>
      </c>
      <c r="P46" s="7">
        <f>IF(SUM(H46:K46)=0,"",H46/SUM(H46:K46))</f>
        <v/>
      </c>
      <c r="Q46" s="7">
        <f>IF(SUM(H46:K46)=0,"",I46/SUM(H46:K46))</f>
        <v/>
      </c>
      <c r="R46" s="7">
        <f>IF(SUM(H46:K46)=0,"",J46/SUM(H46:K46))</f>
        <v/>
      </c>
      <c r="S46" s="7">
        <f>IF(SUM(H46:K46)=0,"",K46/SUM(H46:K46))</f>
        <v/>
      </c>
      <c r="T46" s="7">
        <f>IF(SUM(L46:O46)=0,"",L46/SUM(L46:O46))</f>
        <v/>
      </c>
      <c r="U46" s="7">
        <f>IF(SUM(L46:O46)=0,"",M46/SUM(L46:O46))</f>
        <v/>
      </c>
      <c r="V46" s="7">
        <f>IF(SUM(L46:O46)=0,"",N46/SUM(L46:O46))</f>
        <v/>
      </c>
      <c r="W46" s="7">
        <f>IF(SUM(L46:O46)=0,"",O46/SUM(L46:O46))</f>
        <v/>
      </c>
    </row>
    <row r="47">
      <c r="A47" t="n">
        <v>49</v>
      </c>
      <c r="B47" t="inlineStr">
        <is>
          <t>Evanston's Latinx population has grown to more than 11% of the population, according to the 2020 Census, and 21% of students in District 65 identify as Hispanic.</t>
        </is>
      </c>
      <c r="C47" t="n">
        <v>1</v>
      </c>
      <c r="D47" t="n">
        <v>1</v>
      </c>
      <c r="E47" t="n">
        <v>0</v>
      </c>
      <c r="F47" t="n">
        <v>0</v>
      </c>
      <c r="G47" t="b">
        <v>1</v>
      </c>
      <c r="H47" t="n">
        <v>0</v>
      </c>
      <c r="I47" t="n">
        <v>0</v>
      </c>
      <c r="J47" t="n">
        <v>1</v>
      </c>
      <c r="K47" t="n">
        <v>2</v>
      </c>
      <c r="L47" t="n">
        <v>0</v>
      </c>
      <c r="M47" t="n">
        <v>1</v>
      </c>
      <c r="N47" t="n">
        <v>0</v>
      </c>
      <c r="O47" t="n">
        <v>2</v>
      </c>
      <c r="P47" s="7">
        <f>IF(SUM(H47:K47)=0,"",H47/SUM(H47:K47))</f>
        <v/>
      </c>
      <c r="Q47" s="7">
        <f>IF(SUM(H47:K47)=0,"",I47/SUM(H47:K47))</f>
        <v/>
      </c>
      <c r="R47" s="7">
        <f>IF(SUM(H47:K47)=0,"",J47/SUM(H47:K47))</f>
        <v/>
      </c>
      <c r="S47" s="7">
        <f>IF(SUM(H47:K47)=0,"",K47/SUM(H47:K47))</f>
        <v/>
      </c>
      <c r="T47" s="7">
        <f>IF(SUM(L47:O47)=0,"",L47/SUM(L47:O47))</f>
        <v/>
      </c>
      <c r="U47" s="7">
        <f>IF(SUM(L47:O47)=0,"",M47/SUM(L47:O47))</f>
        <v/>
      </c>
      <c r="V47" s="7">
        <f>IF(SUM(L47:O47)=0,"",N47/SUM(L47:O47))</f>
        <v/>
      </c>
      <c r="W47" s="7">
        <f>IF(SUM(L47:O47)=0,"",O47/SUM(L47:O47))</f>
        <v/>
      </c>
    </row>
    <row r="48">
      <c r="A48" t="n">
        <v>50</v>
      </c>
      <c r="B48" t="inlineStr">
        <is>
          <t>One community leader, [individual_tag], said that she has lived in Evanston for 21 years, and for the first time, she was included in a citizen consultation for vulnerable families in Spanish.</t>
        </is>
      </c>
      <c r="C48" t="n">
        <v>2</v>
      </c>
      <c r="D48" t="n">
        <v>2</v>
      </c>
      <c r="E48" t="n">
        <v>0</v>
      </c>
      <c r="F48" t="n">
        <v>0</v>
      </c>
      <c r="G48" t="b">
        <v>1</v>
      </c>
      <c r="H48" t="n">
        <v>2</v>
      </c>
      <c r="I48" t="n">
        <v>0</v>
      </c>
      <c r="J48" t="n">
        <v>1</v>
      </c>
      <c r="K48" t="n">
        <v>2</v>
      </c>
      <c r="L48" t="n">
        <v>0</v>
      </c>
      <c r="M48" t="n">
        <v>0</v>
      </c>
      <c r="N48" t="n">
        <v>2</v>
      </c>
      <c r="O48" t="n">
        <v>4</v>
      </c>
      <c r="P48" s="7">
        <f>IF(SUM(H48:K48)=0,"",H48/SUM(H48:K48))</f>
        <v/>
      </c>
      <c r="Q48" s="7">
        <f>IF(SUM(H48:K48)=0,"",I48/SUM(H48:K48))</f>
        <v/>
      </c>
      <c r="R48" s="7">
        <f>IF(SUM(H48:K48)=0,"",J48/SUM(H48:K48))</f>
        <v/>
      </c>
      <c r="S48" s="7">
        <f>IF(SUM(H48:K48)=0,"",K48/SUM(H48:K48))</f>
        <v/>
      </c>
      <c r="T48" s="7">
        <f>IF(SUM(L48:O48)=0,"",L48/SUM(L48:O48))</f>
        <v/>
      </c>
      <c r="U48" s="7">
        <f>IF(SUM(L48:O48)=0,"",M48/SUM(L48:O48))</f>
        <v/>
      </c>
      <c r="V48" s="7">
        <f>IF(SUM(L48:O48)=0,"",N48/SUM(L48:O48))</f>
        <v/>
      </c>
      <c r="W48" s="7">
        <f>IF(SUM(L48:O48)=0,"",O48/SUM(L48:O48))</f>
        <v/>
      </c>
    </row>
    <row r="49">
      <c r="A49" t="n">
        <v>51</v>
      </c>
      <c r="B49" t="inlineStr">
        <is>
          <t>As [individual_tag] told [community_foundation_tag], Evanston is a diverse community that needs to implement equality and fairness for all of its residents using its resources.</t>
        </is>
      </c>
      <c r="C49" t="n">
        <v>1</v>
      </c>
      <c r="D49" t="n">
        <v>1</v>
      </c>
      <c r="E49" t="n">
        <v>0</v>
      </c>
      <c r="F49" t="n">
        <v>0</v>
      </c>
      <c r="G49" t="b">
        <v>1</v>
      </c>
      <c r="H49" t="n">
        <v>0</v>
      </c>
      <c r="I49" t="n">
        <v>0</v>
      </c>
      <c r="J49" t="n">
        <v>0</v>
      </c>
      <c r="K49" t="n">
        <v>2</v>
      </c>
      <c r="L49" t="n">
        <v>1</v>
      </c>
      <c r="M49" t="n">
        <v>0</v>
      </c>
      <c r="N49" t="n">
        <v>0</v>
      </c>
      <c r="O49" t="n">
        <v>2</v>
      </c>
      <c r="P49" s="7">
        <f>IF(SUM(H49:K49)=0,"",H49/SUM(H49:K49))</f>
        <v/>
      </c>
      <c r="Q49" s="7">
        <f>IF(SUM(H49:K49)=0,"",I49/SUM(H49:K49))</f>
        <v/>
      </c>
      <c r="R49" s="7">
        <f>IF(SUM(H49:K49)=0,"",J49/SUM(H49:K49))</f>
        <v/>
      </c>
      <c r="S49" s="7">
        <f>IF(SUM(H49:K49)=0,"",K49/SUM(H49:K49))</f>
        <v/>
      </c>
      <c r="T49" s="7">
        <f>IF(SUM(L49:O49)=0,"",L49/SUM(L49:O49))</f>
        <v/>
      </c>
      <c r="U49" s="7">
        <f>IF(SUM(L49:O49)=0,"",M49/SUM(L49:O49))</f>
        <v/>
      </c>
      <c r="V49" s="7">
        <f>IF(SUM(L49:O49)=0,"",N49/SUM(L49:O49))</f>
        <v/>
      </c>
      <c r="W49" s="7">
        <f>IF(SUM(L49:O49)=0,"",O49/SUM(L49:O49))</f>
        <v/>
      </c>
    </row>
    <row r="50">
      <c r="A50" t="n">
        <v>52</v>
      </c>
      <c r="B50" t="inlineStr">
        <is>
          <t>'I am proud to serve as a founding member of the Reparations Stakeholders' Authority of Evanston (RSAE) as this work is important to redress the harm done to Black people here in Evanston.</t>
        </is>
      </c>
      <c r="C50" t="n">
        <v>1</v>
      </c>
      <c r="D50" t="n">
        <v>2</v>
      </c>
      <c r="E50" t="n">
        <v>0</v>
      </c>
      <c r="F50" t="n">
        <v>0</v>
      </c>
      <c r="G50" t="b">
        <v>1</v>
      </c>
      <c r="H50" t="n">
        <v>0</v>
      </c>
      <c r="I50" t="n">
        <v>0</v>
      </c>
      <c r="J50" t="n">
        <v>0</v>
      </c>
      <c r="K50" t="n">
        <v>2</v>
      </c>
      <c r="L50" t="n">
        <v>0</v>
      </c>
      <c r="M50" t="n">
        <v>1</v>
      </c>
      <c r="N50" t="n">
        <v>1</v>
      </c>
      <c r="O50" t="n">
        <v>4</v>
      </c>
      <c r="P50" s="7">
        <f>IF(SUM(H50:K50)=0,"",H50/SUM(H50:K50))</f>
        <v/>
      </c>
      <c r="Q50" s="7">
        <f>IF(SUM(H50:K50)=0,"",I50/SUM(H50:K50))</f>
        <v/>
      </c>
      <c r="R50" s="7">
        <f>IF(SUM(H50:K50)=0,"",J50/SUM(H50:K50))</f>
        <v/>
      </c>
      <c r="S50" s="7">
        <f>IF(SUM(H50:K50)=0,"",K50/SUM(H50:K50))</f>
        <v/>
      </c>
      <c r="T50" s="7">
        <f>IF(SUM(L50:O50)=0,"",L50/SUM(L50:O50))</f>
        <v/>
      </c>
      <c r="U50" s="7">
        <f>IF(SUM(L50:O50)=0,"",M50/SUM(L50:O50))</f>
        <v/>
      </c>
      <c r="V50" s="7">
        <f>IF(SUM(L50:O50)=0,"",N50/SUM(L50:O50))</f>
        <v/>
      </c>
      <c r="W50" s="7">
        <f>IF(SUM(L50:O50)=0,"",O50/SUM(L50:O50))</f>
        <v/>
      </c>
    </row>
    <row r="51">
      <c r="A51" t="n">
        <v>53</v>
      </c>
      <c r="B51" t="inlineStr">
        <is>
          <t>I am inspired daily by the work of RSAE and countless other Evanston community leaders to advance the Evanston Reparations movement. A movement being witnessed nationally and internationally serving as a blueprint for fair and just reparations.'</t>
        </is>
      </c>
      <c r="C51" t="n">
        <v>1</v>
      </c>
      <c r="D51" t="n">
        <v>2</v>
      </c>
      <c r="E51" t="n">
        <v>0</v>
      </c>
      <c r="F51" t="n">
        <v>0</v>
      </c>
      <c r="G51" t="b">
        <v>1</v>
      </c>
      <c r="H51" t="n">
        <v>0</v>
      </c>
      <c r="I51" t="n">
        <v>0</v>
      </c>
      <c r="J51" t="n">
        <v>0</v>
      </c>
      <c r="K51" t="n">
        <v>2</v>
      </c>
      <c r="L51" t="n">
        <v>0</v>
      </c>
      <c r="M51" t="n">
        <v>0</v>
      </c>
      <c r="N51" t="n">
        <v>2</v>
      </c>
      <c r="O51" t="n">
        <v>4</v>
      </c>
      <c r="P51" s="7">
        <f>IF(SUM(H51:K51)=0,"",H51/SUM(H51:K51))</f>
        <v/>
      </c>
      <c r="Q51" s="7">
        <f>IF(SUM(H51:K51)=0,"",I51/SUM(H51:K51))</f>
        <v/>
      </c>
      <c r="R51" s="7">
        <f>IF(SUM(H51:K51)=0,"",J51/SUM(H51:K51))</f>
        <v/>
      </c>
      <c r="S51" s="7">
        <f>IF(SUM(H51:K51)=0,"",K51/SUM(H51:K51))</f>
        <v/>
      </c>
      <c r="T51" s="7">
        <f>IF(SUM(L51:O51)=0,"",L51/SUM(L51:O51))</f>
        <v/>
      </c>
      <c r="U51" s="7">
        <f>IF(SUM(L51:O51)=0,"",M51/SUM(L51:O51))</f>
        <v/>
      </c>
      <c r="V51" s="7">
        <f>IF(SUM(L51:O51)=0,"",N51/SUM(L51:O51))</f>
        <v/>
      </c>
      <c r="W51" s="7">
        <f>IF(SUM(L51:O51)=0,"",O51/SUM(L51:O51))</f>
        <v/>
      </c>
    </row>
    <row r="52">
      <c r="A52" t="n">
        <v>55</v>
      </c>
      <c r="B52" t="inlineStr">
        <is>
          <t>Founder of FirstRepair</t>
        </is>
      </c>
      <c r="C52" t="n">
        <v>0</v>
      </c>
      <c r="D52" t="n">
        <v>0</v>
      </c>
      <c r="E52" t="n">
        <v>0</v>
      </c>
      <c r="F52" t="n">
        <v>0</v>
      </c>
      <c r="G52" t="b">
        <v>0</v>
      </c>
      <c r="H52" t="n">
        <v>0</v>
      </c>
      <c r="I52" t="n">
        <v>0</v>
      </c>
      <c r="J52" t="n">
        <v>0</v>
      </c>
      <c r="K52" t="n">
        <v>0</v>
      </c>
      <c r="L52" t="n">
        <v>0</v>
      </c>
      <c r="M52" t="n">
        <v>0</v>
      </c>
      <c r="N52" t="n">
        <v>0</v>
      </c>
      <c r="O52" t="n">
        <v>0</v>
      </c>
      <c r="P52" s="7">
        <f>IF(SUM(H52:K52)=0,"",H52/SUM(H52:K52))</f>
        <v/>
      </c>
      <c r="Q52" s="7">
        <f>IF(SUM(H52:K52)=0,"",I52/SUM(H52:K52))</f>
        <v/>
      </c>
      <c r="R52" s="7">
        <f>IF(SUM(H52:K52)=0,"",J52/SUM(H52:K52))</f>
        <v/>
      </c>
      <c r="S52" s="7">
        <f>IF(SUM(H52:K52)=0,"",K52/SUM(H52:K52))</f>
        <v/>
      </c>
      <c r="T52" s="7">
        <f>IF(SUM(L52:O52)=0,"",L52/SUM(L52:O52))</f>
        <v/>
      </c>
      <c r="U52" s="7">
        <f>IF(SUM(L52:O52)=0,"",M52/SUM(L52:O52))</f>
        <v/>
      </c>
      <c r="V52" s="7">
        <f>IF(SUM(L52:O52)=0,"",N52/SUM(L52:O52))</f>
        <v/>
      </c>
      <c r="W52" s="7">
        <f>IF(SUM(L52:O52)=0,"",O52/SUM(L52:O52))</f>
        <v/>
      </c>
    </row>
    <row r="53">
      <c r="A53" t="n">
        <v>56</v>
      </c>
      <c r="B53" t="inlineStr">
        <is>
          <t>• Former 5th Ward Alderman</t>
        </is>
      </c>
      <c r="C53" t="n">
        <v>0</v>
      </c>
      <c r="D53" t="n">
        <v>0</v>
      </c>
      <c r="E53" t="n">
        <v>0</v>
      </c>
      <c r="F53" t="n">
        <v>0</v>
      </c>
      <c r="G53" t="b">
        <v>0</v>
      </c>
      <c r="H53" t="n">
        <v>0</v>
      </c>
      <c r="I53" t="n">
        <v>0</v>
      </c>
      <c r="J53" t="n">
        <v>0</v>
      </c>
      <c r="K53" t="n">
        <v>0</v>
      </c>
      <c r="L53" t="n">
        <v>0</v>
      </c>
      <c r="M53" t="n">
        <v>0</v>
      </c>
      <c r="N53" t="n">
        <v>0</v>
      </c>
      <c r="O53" t="n">
        <v>0</v>
      </c>
      <c r="P53" s="7">
        <f>IF(SUM(H53:K53)=0,"",H53/SUM(H53:K53))</f>
        <v/>
      </c>
      <c r="Q53" s="7">
        <f>IF(SUM(H53:K53)=0,"",I53/SUM(H53:K53))</f>
        <v/>
      </c>
      <c r="R53" s="7">
        <f>IF(SUM(H53:K53)=0,"",J53/SUM(H53:K53))</f>
        <v/>
      </c>
      <c r="S53" s="7">
        <f>IF(SUM(H53:K53)=0,"",K53/SUM(H53:K53))</f>
        <v/>
      </c>
      <c r="T53" s="7">
        <f>IF(SUM(L53:O53)=0,"",L53/SUM(L53:O53))</f>
        <v/>
      </c>
      <c r="U53" s="7">
        <f>IF(SUM(L53:O53)=0,"",M53/SUM(L53:O53))</f>
        <v/>
      </c>
      <c r="V53" s="7">
        <f>IF(SUM(L53:O53)=0,"",N53/SUM(L53:O53))</f>
        <v/>
      </c>
      <c r="W53" s="7">
        <f>IF(SUM(L53:O53)=0,"",O53/SUM(L53:O53))</f>
        <v/>
      </c>
    </row>
    <row r="54">
      <c r="A54" t="n">
        <v>57</v>
      </c>
      <c r="B54" t="inlineStr">
        <is>
          <t>Reparations in Evanston: reinvesting in the Black community</t>
        </is>
      </c>
      <c r="C54" t="n">
        <v>1</v>
      </c>
      <c r="D54" t="n">
        <v>0</v>
      </c>
      <c r="E54" t="n">
        <v>0</v>
      </c>
      <c r="F54" t="n">
        <v>0</v>
      </c>
      <c r="G54" t="b">
        <v>0</v>
      </c>
      <c r="H54" t="n">
        <v>0</v>
      </c>
      <c r="I54" t="n">
        <v>0</v>
      </c>
      <c r="J54" t="n">
        <v>0</v>
      </c>
      <c r="K54" t="n">
        <v>2</v>
      </c>
      <c r="L54" t="n">
        <v>0</v>
      </c>
      <c r="M54" t="n">
        <v>0</v>
      </c>
      <c r="N54" t="n">
        <v>0</v>
      </c>
      <c r="O54" t="n">
        <v>0</v>
      </c>
      <c r="P54" s="7">
        <f>IF(SUM(H54:K54)=0,"",H54/SUM(H54:K54))</f>
        <v/>
      </c>
      <c r="Q54" s="7">
        <f>IF(SUM(H54:K54)=0,"",I54/SUM(H54:K54))</f>
        <v/>
      </c>
      <c r="R54" s="7">
        <f>IF(SUM(H54:K54)=0,"",J54/SUM(H54:K54))</f>
        <v/>
      </c>
      <c r="S54" s="7">
        <f>IF(SUM(H54:K54)=0,"",K54/SUM(H54:K54))</f>
        <v/>
      </c>
      <c r="T54" s="7">
        <f>IF(SUM(L54:O54)=0,"",L54/SUM(L54:O54))</f>
        <v/>
      </c>
      <c r="U54" s="7">
        <f>IF(SUM(L54:O54)=0,"",M54/SUM(L54:O54))</f>
        <v/>
      </c>
      <c r="V54" s="7">
        <f>IF(SUM(L54:O54)=0,"",N54/SUM(L54:O54))</f>
        <v/>
      </c>
      <c r="W54" s="7">
        <f>IF(SUM(L54:O54)=0,"",O54/SUM(L54:O54))</f>
        <v/>
      </c>
    </row>
    <row r="55">
      <c r="A55" t="n">
        <v>58</v>
      </c>
      <c r="B55" t="inlineStr">
        <is>
          <t>Centering Black voices and reinvesting in the Black community are pillars of [community_foundation_tag] work as [community_foundation_tag]. [community_foundation_tag] is proud to be part of Evanston's historic efforts to repair harm.</t>
        </is>
      </c>
      <c r="C55" t="n">
        <v>1</v>
      </c>
      <c r="D55" t="n">
        <v>2</v>
      </c>
      <c r="E55" t="n">
        <v>0</v>
      </c>
      <c r="F55" t="n">
        <v>0</v>
      </c>
      <c r="G55" t="b">
        <v>1</v>
      </c>
      <c r="H55" t="n">
        <v>0</v>
      </c>
      <c r="I55" t="n">
        <v>0</v>
      </c>
      <c r="J55" t="n">
        <v>0</v>
      </c>
      <c r="K55" t="n">
        <v>2</v>
      </c>
      <c r="L55" t="n">
        <v>0</v>
      </c>
      <c r="M55" t="n">
        <v>1</v>
      </c>
      <c r="N55" t="n">
        <v>1</v>
      </c>
      <c r="O55" t="n">
        <v>4</v>
      </c>
      <c r="P55" s="7">
        <f>IF(SUM(H55:K55)=0,"",H55/SUM(H55:K55))</f>
        <v/>
      </c>
      <c r="Q55" s="7">
        <f>IF(SUM(H55:K55)=0,"",I55/SUM(H55:K55))</f>
        <v/>
      </c>
      <c r="R55" s="7">
        <f>IF(SUM(H55:K55)=0,"",J55/SUM(H55:K55))</f>
        <v/>
      </c>
      <c r="S55" s="7">
        <f>IF(SUM(H55:K55)=0,"",K55/SUM(H55:K55))</f>
        <v/>
      </c>
      <c r="T55" s="7">
        <f>IF(SUM(L55:O55)=0,"",L55/SUM(L55:O55))</f>
        <v/>
      </c>
      <c r="U55" s="7">
        <f>IF(SUM(L55:O55)=0,"",M55/SUM(L55:O55))</f>
        <v/>
      </c>
      <c r="V55" s="7">
        <f>IF(SUM(L55:O55)=0,"",N55/SUM(L55:O55))</f>
        <v/>
      </c>
      <c r="W55" s="7">
        <f>IF(SUM(L55:O55)=0,"",O55/SUM(L55:O55))</f>
        <v/>
      </c>
    </row>
    <row r="56">
      <c r="A56" t="n">
        <v>59</v>
      </c>
      <c r="B56" t="inlineStr">
        <is>
          <t>In June 2019, the City of Evanston took the landmark step to establish a reparations fund, allocating up to $10 million of tax revenue from the sales of recreational cannabis.</t>
        </is>
      </c>
      <c r="C56" t="n">
        <v>0</v>
      </c>
      <c r="D56" t="n">
        <v>0</v>
      </c>
      <c r="E56" t="n">
        <v>0</v>
      </c>
      <c r="F56" t="n">
        <v>0</v>
      </c>
      <c r="G56" t="b">
        <v>0</v>
      </c>
      <c r="H56" t="n">
        <v>0</v>
      </c>
      <c r="I56" t="n">
        <v>0</v>
      </c>
      <c r="J56" t="n">
        <v>0</v>
      </c>
      <c r="K56" t="n">
        <v>0</v>
      </c>
      <c r="L56" t="n">
        <v>0</v>
      </c>
      <c r="M56" t="n">
        <v>0</v>
      </c>
      <c r="N56" t="n">
        <v>0</v>
      </c>
      <c r="O56" t="n">
        <v>0</v>
      </c>
      <c r="P56" s="7">
        <f>IF(SUM(H56:K56)=0,"",H56/SUM(H56:K56))</f>
        <v/>
      </c>
      <c r="Q56" s="7">
        <f>IF(SUM(H56:K56)=0,"",I56/SUM(H56:K56))</f>
        <v/>
      </c>
      <c r="R56" s="7">
        <f>IF(SUM(H56:K56)=0,"",J56/SUM(H56:K56))</f>
        <v/>
      </c>
      <c r="S56" s="7">
        <f>IF(SUM(H56:K56)=0,"",K56/SUM(H56:K56))</f>
        <v/>
      </c>
      <c r="T56" s="7">
        <f>IF(SUM(L56:O56)=0,"",L56/SUM(L56:O56))</f>
        <v/>
      </c>
      <c r="U56" s="7">
        <f>IF(SUM(L56:O56)=0,"",M56/SUM(L56:O56))</f>
        <v/>
      </c>
      <c r="V56" s="7">
        <f>IF(SUM(L56:O56)=0,"",N56/SUM(L56:O56))</f>
        <v/>
      </c>
      <c r="W56" s="7">
        <f>IF(SUM(L56:O56)=0,"",O56/SUM(L56:O56))</f>
        <v/>
      </c>
    </row>
    <row r="57">
      <c r="A57" t="n">
        <v>60</v>
      </c>
      <c r="B57" t="inlineStr">
        <is>
          <t>This groundbreaking step was the culmination of work led by then Fifth Ward Alderman [individual_tag] and a group of community leaders and clergy.</t>
        </is>
      </c>
      <c r="C57" t="n">
        <v>0</v>
      </c>
      <c r="D57" t="n">
        <v>1</v>
      </c>
      <c r="E57" t="n">
        <v>0</v>
      </c>
      <c r="F57" t="n">
        <v>0</v>
      </c>
      <c r="G57" t="b">
        <v>0</v>
      </c>
      <c r="H57" t="n">
        <v>0</v>
      </c>
      <c r="I57" t="n">
        <v>0</v>
      </c>
      <c r="J57" t="n">
        <v>0</v>
      </c>
      <c r="K57" t="n">
        <v>0</v>
      </c>
      <c r="L57" t="n">
        <v>0</v>
      </c>
      <c r="M57" t="n">
        <v>0</v>
      </c>
      <c r="N57" t="n">
        <v>1</v>
      </c>
      <c r="O57" t="n">
        <v>2</v>
      </c>
      <c r="P57" s="7">
        <f>IF(SUM(H57:K57)=0,"",H57/SUM(H57:K57))</f>
        <v/>
      </c>
      <c r="Q57" s="7">
        <f>IF(SUM(H57:K57)=0,"",I57/SUM(H57:K57))</f>
        <v/>
      </c>
      <c r="R57" s="7">
        <f>IF(SUM(H57:K57)=0,"",J57/SUM(H57:K57))</f>
        <v/>
      </c>
      <c r="S57" s="7">
        <f>IF(SUM(H57:K57)=0,"",K57/SUM(H57:K57))</f>
        <v/>
      </c>
      <c r="T57" s="7">
        <f>IF(SUM(L57:O57)=0,"",L57/SUM(L57:O57))</f>
        <v/>
      </c>
      <c r="U57" s="7">
        <f>IF(SUM(L57:O57)=0,"",M57/SUM(L57:O57))</f>
        <v/>
      </c>
      <c r="V57" s="7">
        <f>IF(SUM(L57:O57)=0,"",N57/SUM(L57:O57))</f>
        <v/>
      </c>
      <c r="W57" s="7">
        <f>IF(SUM(L57:O57)=0,"",O57/SUM(L57:O57))</f>
        <v/>
      </c>
    </row>
    <row r="58">
      <c r="A58" t="n">
        <v>61</v>
      </c>
      <c r="B58" t="inlineStr">
        <is>
          <t>Their work is underpinned by the research of [individual_tag] (founder of Shorefront), which documents Black history in Evanston and the North Shore. This group founded the nonprofit Reparations Stakeholders Authority of Evanston (RSAE) to provide further support for repair in [community_foundation_tag] community.</t>
        </is>
      </c>
      <c r="C58" t="n">
        <v>0</v>
      </c>
      <c r="D58" t="n">
        <v>2</v>
      </c>
      <c r="E58" t="n">
        <v>0</v>
      </c>
      <c r="F58" t="n">
        <v>0</v>
      </c>
      <c r="G58" t="b">
        <v>0</v>
      </c>
      <c r="H58" t="n">
        <v>0</v>
      </c>
      <c r="I58" t="n">
        <v>0</v>
      </c>
      <c r="J58" t="n">
        <v>0</v>
      </c>
      <c r="K58" t="n">
        <v>0</v>
      </c>
      <c r="L58" t="n">
        <v>1</v>
      </c>
      <c r="M58" t="n">
        <v>0</v>
      </c>
      <c r="N58" t="n">
        <v>1</v>
      </c>
      <c r="O58" t="n">
        <v>4</v>
      </c>
      <c r="P58" s="7">
        <f>IF(SUM(H58:K58)=0,"",H58/SUM(H58:K58))</f>
        <v/>
      </c>
      <c r="Q58" s="7">
        <f>IF(SUM(H58:K58)=0,"",I58/SUM(H58:K58))</f>
        <v/>
      </c>
      <c r="R58" s="7">
        <f>IF(SUM(H58:K58)=0,"",J58/SUM(H58:K58))</f>
        <v/>
      </c>
      <c r="S58" s="7">
        <f>IF(SUM(H58:K58)=0,"",K58/SUM(H58:K58))</f>
        <v/>
      </c>
      <c r="T58" s="7">
        <f>IF(SUM(L58:O58)=0,"",L58/SUM(L58:O58))</f>
        <v/>
      </c>
      <c r="U58" s="7">
        <f>IF(SUM(L58:O58)=0,"",M58/SUM(L58:O58))</f>
        <v/>
      </c>
      <c r="V58" s="7">
        <f>IF(SUM(L58:O58)=0,"",N58/SUM(L58:O58))</f>
        <v/>
      </c>
      <c r="W58" s="7">
        <f>IF(SUM(L58:O58)=0,"",O58/SUM(L58:O58))</f>
        <v/>
      </c>
    </row>
    <row r="59">
      <c r="A59" t="n">
        <v>62</v>
      </c>
      <c r="B59" t="inlineStr">
        <is>
          <t>The RSAE worked with [community_foundation_tag] to establish the Evanston Reparations Community Fund, housed at [community_foundation_tag].</t>
        </is>
      </c>
      <c r="C59" t="n">
        <v>1</v>
      </c>
      <c r="D59" t="n">
        <v>3</v>
      </c>
      <c r="E59" t="n">
        <v>0</v>
      </c>
      <c r="F59" t="n">
        <v>0</v>
      </c>
      <c r="G59" t="b">
        <v>1</v>
      </c>
      <c r="H59" t="n">
        <v>0</v>
      </c>
      <c r="I59" t="n">
        <v>0</v>
      </c>
      <c r="J59" t="n">
        <v>1</v>
      </c>
      <c r="K59" t="n">
        <v>2</v>
      </c>
      <c r="L59" t="n">
        <v>0</v>
      </c>
      <c r="M59" t="n">
        <v>2</v>
      </c>
      <c r="N59" t="n">
        <v>1</v>
      </c>
      <c r="O59" t="n">
        <v>6</v>
      </c>
      <c r="P59" s="7">
        <f>IF(SUM(H59:K59)=0,"",H59/SUM(H59:K59))</f>
        <v/>
      </c>
      <c r="Q59" s="7">
        <f>IF(SUM(H59:K59)=0,"",I59/SUM(H59:K59))</f>
        <v/>
      </c>
      <c r="R59" s="7">
        <f>IF(SUM(H59:K59)=0,"",J59/SUM(H59:K59))</f>
        <v/>
      </c>
      <c r="S59" s="7">
        <f>IF(SUM(H59:K59)=0,"",K59/SUM(H59:K59))</f>
        <v/>
      </c>
      <c r="T59" s="7">
        <f>IF(SUM(L59:O59)=0,"",L59/SUM(L59:O59))</f>
        <v/>
      </c>
      <c r="U59" s="7">
        <f>IF(SUM(L59:O59)=0,"",M59/SUM(L59:O59))</f>
        <v/>
      </c>
      <c r="V59" s="7">
        <f>IF(SUM(L59:O59)=0,"",N59/SUM(L59:O59))</f>
        <v/>
      </c>
      <c r="W59" s="7">
        <f>IF(SUM(L59:O59)=0,"",O59/SUM(L59:O59))</f>
        <v/>
      </c>
    </row>
    <row r="60">
      <c r="A60" t="n">
        <v>63</v>
      </c>
      <c r="B60" t="inlineStr">
        <is>
          <t>The fund's purpose is to directly benefit Evanston's Black community, heal racism, and address the harm caused by discriminatory practices.</t>
        </is>
      </c>
      <c r="C60" t="n">
        <v>1</v>
      </c>
      <c r="D60" t="n">
        <v>3</v>
      </c>
      <c r="E60" t="n">
        <v>0</v>
      </c>
      <c r="F60" t="n">
        <v>0</v>
      </c>
      <c r="G60" t="b">
        <v>1</v>
      </c>
      <c r="H60" t="n">
        <v>0</v>
      </c>
      <c r="I60" t="n">
        <v>0</v>
      </c>
      <c r="J60" t="n">
        <v>0</v>
      </c>
      <c r="K60" t="n">
        <v>2</v>
      </c>
      <c r="L60" t="n">
        <v>0</v>
      </c>
      <c r="M60" t="n">
        <v>3</v>
      </c>
      <c r="N60" t="n">
        <v>0</v>
      </c>
      <c r="O60" t="n">
        <v>6</v>
      </c>
      <c r="P60" s="7">
        <f>IF(SUM(H60:K60)=0,"",H60/SUM(H60:K60))</f>
        <v/>
      </c>
      <c r="Q60" s="7">
        <f>IF(SUM(H60:K60)=0,"",I60/SUM(H60:K60))</f>
        <v/>
      </c>
      <c r="R60" s="7">
        <f>IF(SUM(H60:K60)=0,"",J60/SUM(H60:K60))</f>
        <v/>
      </c>
      <c r="S60" s="7">
        <f>IF(SUM(H60:K60)=0,"",K60/SUM(H60:K60))</f>
        <v/>
      </c>
      <c r="T60" s="7">
        <f>IF(SUM(L60:O60)=0,"",L60/SUM(L60:O60))</f>
        <v/>
      </c>
      <c r="U60" s="7">
        <f>IF(SUM(L60:O60)=0,"",M60/SUM(L60:O60))</f>
        <v/>
      </c>
      <c r="V60" s="7">
        <f>IF(SUM(L60:O60)=0,"",N60/SUM(L60:O60))</f>
        <v/>
      </c>
      <c r="W60" s="7">
        <f>IF(SUM(L60:O60)=0,"",O60/SUM(L60:O60))</f>
        <v/>
      </c>
    </row>
    <row r="61">
      <c r="A61" t="n">
        <v>64</v>
      </c>
      <c r="B61" t="inlineStr">
        <is>
          <t>The Fund ensures that funding is available in perpetuity for reparations.</t>
        </is>
      </c>
      <c r="C61" t="n">
        <v>1</v>
      </c>
      <c r="D61" t="n">
        <v>2</v>
      </c>
      <c r="E61" t="n">
        <v>0</v>
      </c>
      <c r="F61" t="n">
        <v>0</v>
      </c>
      <c r="G61" t="b">
        <v>1</v>
      </c>
      <c r="H61" t="n">
        <v>0</v>
      </c>
      <c r="I61" t="n">
        <v>0</v>
      </c>
      <c r="J61" t="n">
        <v>0</v>
      </c>
      <c r="K61" t="n">
        <v>2</v>
      </c>
      <c r="L61" t="n">
        <v>2</v>
      </c>
      <c r="M61" t="n">
        <v>0</v>
      </c>
      <c r="N61" t="n">
        <v>0</v>
      </c>
      <c r="O61" t="n">
        <v>4</v>
      </c>
      <c r="P61" s="7">
        <f>IF(SUM(H61:K61)=0,"",H61/SUM(H61:K61))</f>
        <v/>
      </c>
      <c r="Q61" s="7">
        <f>IF(SUM(H61:K61)=0,"",I61/SUM(H61:K61))</f>
        <v/>
      </c>
      <c r="R61" s="7">
        <f>IF(SUM(H61:K61)=0,"",J61/SUM(H61:K61))</f>
        <v/>
      </c>
      <c r="S61" s="7">
        <f>IF(SUM(H61:K61)=0,"",K61/SUM(H61:K61))</f>
        <v/>
      </c>
      <c r="T61" s="7">
        <f>IF(SUM(L61:O61)=0,"",L61/SUM(L61:O61))</f>
        <v/>
      </c>
      <c r="U61" s="7">
        <f>IF(SUM(L61:O61)=0,"",M61/SUM(L61:O61))</f>
        <v/>
      </c>
      <c r="V61" s="7">
        <f>IF(SUM(L61:O61)=0,"",N61/SUM(L61:O61))</f>
        <v/>
      </c>
      <c r="W61" s="7">
        <f>IF(SUM(L61:O61)=0,"",O61/SUM(L61:O61))</f>
        <v/>
      </c>
    </row>
    <row r="62">
      <c r="A62" t="n">
        <v>65</v>
      </c>
      <c r="B62" t="inlineStr">
        <is>
          <t>[community_foundation_tag] made an initial capacitybuilding grant to help launch RSAE and the Evanston Reparations Community Fund.</t>
        </is>
      </c>
      <c r="C62" t="n">
        <v>1</v>
      </c>
      <c r="D62" t="n">
        <v>2</v>
      </c>
      <c r="E62" t="n">
        <v>0</v>
      </c>
      <c r="F62" t="n">
        <v>0</v>
      </c>
      <c r="G62" t="b">
        <v>1</v>
      </c>
      <c r="H62" t="n">
        <v>0</v>
      </c>
      <c r="I62" t="n">
        <v>0</v>
      </c>
      <c r="J62" t="n">
        <v>0</v>
      </c>
      <c r="K62" t="n">
        <v>2</v>
      </c>
      <c r="L62" t="n">
        <v>0</v>
      </c>
      <c r="M62" t="n">
        <v>0</v>
      </c>
      <c r="N62" t="n">
        <v>2</v>
      </c>
      <c r="O62" t="n">
        <v>4</v>
      </c>
      <c r="P62" s="7">
        <f>IF(SUM(H62:K62)=0,"",H62/SUM(H62:K62))</f>
        <v/>
      </c>
      <c r="Q62" s="7">
        <f>IF(SUM(H62:K62)=0,"",I62/SUM(H62:K62))</f>
        <v/>
      </c>
      <c r="R62" s="7">
        <f>IF(SUM(H62:K62)=0,"",J62/SUM(H62:K62))</f>
        <v/>
      </c>
      <c r="S62" s="7">
        <f>IF(SUM(H62:K62)=0,"",K62/SUM(H62:K62))</f>
        <v/>
      </c>
      <c r="T62" s="7">
        <f>IF(SUM(L62:O62)=0,"",L62/SUM(L62:O62))</f>
        <v/>
      </c>
      <c r="U62" s="7">
        <f>IF(SUM(L62:O62)=0,"",M62/SUM(L62:O62))</f>
        <v/>
      </c>
      <c r="V62" s="7">
        <f>IF(SUM(L62:O62)=0,"",N62/SUM(L62:O62))</f>
        <v/>
      </c>
      <c r="W62" s="7">
        <f>IF(SUM(L62:O62)=0,"",O62/SUM(L62:O62))</f>
        <v/>
      </c>
    </row>
    <row r="63">
      <c r="A63" t="n">
        <v>66</v>
      </c>
      <c r="B63" t="inlineStr">
        <is>
          <t>In addition, [community_foundation_tag] Board Treasurer, [individual_tag] devoted his time to partnering with [individual_tag] to open doors to credit unions and national banks to support the Reparations Movement with dollars allocated to the Community Reinvestment Act.</t>
        </is>
      </c>
      <c r="C63" t="n">
        <v>1</v>
      </c>
      <c r="D63" t="n">
        <v>2</v>
      </c>
      <c r="E63" t="n">
        <v>0</v>
      </c>
      <c r="F63" t="n">
        <v>0</v>
      </c>
      <c r="G63" t="b">
        <v>1</v>
      </c>
      <c r="H63" t="n">
        <v>0</v>
      </c>
      <c r="I63" t="n">
        <v>0</v>
      </c>
      <c r="J63" t="n">
        <v>1</v>
      </c>
      <c r="K63" t="n">
        <v>2</v>
      </c>
      <c r="L63" t="n">
        <v>0</v>
      </c>
      <c r="M63" t="n">
        <v>0</v>
      </c>
      <c r="N63" t="n">
        <v>2</v>
      </c>
      <c r="O63" t="n">
        <v>4</v>
      </c>
      <c r="P63" s="7">
        <f>IF(SUM(H63:K63)=0,"",H63/SUM(H63:K63))</f>
        <v/>
      </c>
      <c r="Q63" s="7">
        <f>IF(SUM(H63:K63)=0,"",I63/SUM(H63:K63))</f>
        <v/>
      </c>
      <c r="R63" s="7">
        <f>IF(SUM(H63:K63)=0,"",J63/SUM(H63:K63))</f>
        <v/>
      </c>
      <c r="S63" s="7">
        <f>IF(SUM(H63:K63)=0,"",K63/SUM(H63:K63))</f>
        <v/>
      </c>
      <c r="T63" s="7">
        <f>IF(SUM(L63:O63)=0,"",L63/SUM(L63:O63))</f>
        <v/>
      </c>
      <c r="U63" s="7">
        <f>IF(SUM(L63:O63)=0,"",M63/SUM(L63:O63))</f>
        <v/>
      </c>
      <c r="V63" s="7">
        <f>IF(SUM(L63:O63)=0,"",N63/SUM(L63:O63))</f>
        <v/>
      </c>
      <c r="W63" s="7">
        <f>IF(SUM(L63:O63)=0,"",O63/SUM(L63:O63))</f>
        <v/>
      </c>
    </row>
    <row r="64">
      <c r="A64" t="n">
        <v>67</v>
      </c>
      <c r="B64" t="inlineStr">
        <is>
          <t>Because [community_foundation_tag] is committed to centering Black voices, spending decisions for the Reparations Community Fund will be made by the RSAE rather than the [community_foundation_tag] board.</t>
        </is>
      </c>
      <c r="C64" t="n">
        <v>1</v>
      </c>
      <c r="D64" t="n">
        <v>2</v>
      </c>
      <c r="E64" t="n">
        <v>0</v>
      </c>
      <c r="F64" t="n">
        <v>0</v>
      </c>
      <c r="G64" t="b">
        <v>1</v>
      </c>
      <c r="H64" t="n">
        <v>0</v>
      </c>
      <c r="I64" t="n">
        <v>0</v>
      </c>
      <c r="J64" t="n">
        <v>0</v>
      </c>
      <c r="K64" t="n">
        <v>2</v>
      </c>
      <c r="L64" t="n">
        <v>0</v>
      </c>
      <c r="M64" t="n">
        <v>2</v>
      </c>
      <c r="N64" t="n">
        <v>0</v>
      </c>
      <c r="O64" t="n">
        <v>4</v>
      </c>
      <c r="P64" s="7">
        <f>IF(SUM(H64:K64)=0,"",H64/SUM(H64:K64))</f>
        <v/>
      </c>
      <c r="Q64" s="7">
        <f>IF(SUM(H64:K64)=0,"",I64/SUM(H64:K64))</f>
        <v/>
      </c>
      <c r="R64" s="7">
        <f>IF(SUM(H64:K64)=0,"",J64/SUM(H64:K64))</f>
        <v/>
      </c>
      <c r="S64" s="7">
        <f>IF(SUM(H64:K64)=0,"",K64/SUM(H64:K64))</f>
        <v/>
      </c>
      <c r="T64" s="7">
        <f>IF(SUM(L64:O64)=0,"",L64/SUM(L64:O64))</f>
        <v/>
      </c>
      <c r="U64" s="7">
        <f>IF(SUM(L64:O64)=0,"",M64/SUM(L64:O64))</f>
        <v/>
      </c>
      <c r="V64" s="7">
        <f>IF(SUM(L64:O64)=0,"",N64/SUM(L64:O64))</f>
        <v/>
      </c>
      <c r="W64" s="7">
        <f>IF(SUM(L64:O64)=0,"",O64/SUM(L64:O64))</f>
        <v/>
      </c>
    </row>
    <row r="65">
      <c r="A65" t="n">
        <v>68</v>
      </c>
      <c r="B65" t="inlineStr">
        <is>
          <t>[community_foundation_tag] does not charge any fees for holding the fund.</t>
        </is>
      </c>
      <c r="C65" t="n">
        <v>1</v>
      </c>
      <c r="D65" t="n">
        <v>1</v>
      </c>
      <c r="E65" t="n">
        <v>0</v>
      </c>
      <c r="F65" t="n">
        <v>0</v>
      </c>
      <c r="G65" t="b">
        <v>1</v>
      </c>
      <c r="H65" t="n">
        <v>0</v>
      </c>
      <c r="I65" t="n">
        <v>0</v>
      </c>
      <c r="J65" t="n">
        <v>0</v>
      </c>
      <c r="K65" t="n">
        <v>2</v>
      </c>
      <c r="L65" t="n">
        <v>0</v>
      </c>
      <c r="M65" t="n">
        <v>1</v>
      </c>
      <c r="N65" t="n">
        <v>0</v>
      </c>
      <c r="O65" t="n">
        <v>2</v>
      </c>
      <c r="P65" s="7">
        <f>IF(SUM(H65:K65)=0,"",H65/SUM(H65:K65))</f>
        <v/>
      </c>
      <c r="Q65" s="7">
        <f>IF(SUM(H65:K65)=0,"",I65/SUM(H65:K65))</f>
        <v/>
      </c>
      <c r="R65" s="7">
        <f>IF(SUM(H65:K65)=0,"",J65/SUM(H65:K65))</f>
        <v/>
      </c>
      <c r="S65" s="7">
        <f>IF(SUM(H65:K65)=0,"",K65/SUM(H65:K65))</f>
        <v/>
      </c>
      <c r="T65" s="7">
        <f>IF(SUM(L65:O65)=0,"",L65/SUM(L65:O65))</f>
        <v/>
      </c>
      <c r="U65" s="7">
        <f>IF(SUM(L65:O65)=0,"",M65/SUM(L65:O65))</f>
        <v/>
      </c>
      <c r="V65" s="7">
        <f>IF(SUM(L65:O65)=0,"",N65/SUM(L65:O65))</f>
        <v/>
      </c>
      <c r="W65" s="7">
        <f>IF(SUM(L65:O65)=0,"",O65/SUM(L65:O65))</f>
        <v/>
      </c>
    </row>
    <row r="66">
      <c r="A66" t="n">
        <v>69</v>
      </c>
      <c r="B66" t="inlineStr">
        <is>
          <t>[community_foundation_tag] are proud to help grow the fund, partner with the RSAE, and help grow the Reparations Movement in Evanston and beyond.</t>
        </is>
      </c>
      <c r="C66" t="n">
        <v>1</v>
      </c>
      <c r="D66" t="n">
        <v>2</v>
      </c>
      <c r="E66" t="n">
        <v>0</v>
      </c>
      <c r="F66" t="n">
        <v>0</v>
      </c>
      <c r="G66" t="b">
        <v>1</v>
      </c>
      <c r="H66" t="n">
        <v>0</v>
      </c>
      <c r="I66" t="n">
        <v>0</v>
      </c>
      <c r="J66" t="n">
        <v>1</v>
      </c>
      <c r="K66" t="n">
        <v>2</v>
      </c>
      <c r="L66" t="n">
        <v>0</v>
      </c>
      <c r="M66" t="n">
        <v>0</v>
      </c>
      <c r="N66" t="n">
        <v>2</v>
      </c>
      <c r="O66" t="n">
        <v>4</v>
      </c>
      <c r="P66" s="7">
        <f>IF(SUM(H66:K66)=0,"",H66/SUM(H66:K66))</f>
        <v/>
      </c>
      <c r="Q66" s="7">
        <f>IF(SUM(H66:K66)=0,"",I66/SUM(H66:K66))</f>
        <v/>
      </c>
      <c r="R66" s="7">
        <f>IF(SUM(H66:K66)=0,"",J66/SUM(H66:K66))</f>
        <v/>
      </c>
      <c r="S66" s="7">
        <f>IF(SUM(H66:K66)=0,"",K66/SUM(H66:K66))</f>
        <v/>
      </c>
      <c r="T66" s="7">
        <f>IF(SUM(L66:O66)=0,"",L66/SUM(L66:O66))</f>
        <v/>
      </c>
      <c r="U66" s="7">
        <f>IF(SUM(L66:O66)=0,"",M66/SUM(L66:O66))</f>
        <v/>
      </c>
      <c r="V66" s="7">
        <f>IF(SUM(L66:O66)=0,"",N66/SUM(L66:O66))</f>
        <v/>
      </c>
      <c r="W66" s="7">
        <f>IF(SUM(L66:O66)=0,"",O66/SUM(L66:O66))</f>
        <v/>
      </c>
    </row>
    <row r="67">
      <c r="A67" t="n">
        <v>71</v>
      </c>
      <c r="B67" t="inlineStr">
        <is>
          <t>BOARD MEMBER · RETIRED BANKER · ADVOCATE</t>
        </is>
      </c>
      <c r="C67" t="n">
        <v>0</v>
      </c>
      <c r="D67" t="n">
        <v>1</v>
      </c>
      <c r="E67" t="n">
        <v>0</v>
      </c>
      <c r="F67" t="n">
        <v>0</v>
      </c>
      <c r="G67" t="b">
        <v>0</v>
      </c>
      <c r="H67" t="n">
        <v>0</v>
      </c>
      <c r="I67" t="n">
        <v>0</v>
      </c>
      <c r="J67" t="n">
        <v>0</v>
      </c>
      <c r="K67" t="n">
        <v>0</v>
      </c>
      <c r="L67" t="n">
        <v>0</v>
      </c>
      <c r="M67" t="n">
        <v>0</v>
      </c>
      <c r="N67" t="n">
        <v>2</v>
      </c>
      <c r="O67" t="n">
        <v>1</v>
      </c>
      <c r="P67" s="7">
        <f>IF(SUM(H67:K67)=0,"",H67/SUM(H67:K67))</f>
        <v/>
      </c>
      <c r="Q67" s="7">
        <f>IF(SUM(H67:K67)=0,"",I67/SUM(H67:K67))</f>
        <v/>
      </c>
      <c r="R67" s="7">
        <f>IF(SUM(H67:K67)=0,"",J67/SUM(H67:K67))</f>
        <v/>
      </c>
      <c r="S67" s="7">
        <f>IF(SUM(H67:K67)=0,"",K67/SUM(H67:K67))</f>
        <v/>
      </c>
      <c r="T67" s="7">
        <f>IF(SUM(L67:O67)=0,"",L67/SUM(L67:O67))</f>
        <v/>
      </c>
      <c r="U67" s="7">
        <f>IF(SUM(L67:O67)=0,"",M67/SUM(L67:O67))</f>
        <v/>
      </c>
      <c r="V67" s="7">
        <f>IF(SUM(L67:O67)=0,"",N67/SUM(L67:O67))</f>
        <v/>
      </c>
      <c r="W67" s="7">
        <f>IF(SUM(L67:O67)=0,"",O67/SUM(L67:O67))</f>
        <v/>
      </c>
    </row>
    <row r="68">
      <c r="A68" t="n">
        <v>73</v>
      </c>
      <c r="B68" t="inlineStr">
        <is>
          <t>' I began working on reparations with [individual_tag] in my role as the treasurer of [community_foundation_tag].</t>
        </is>
      </c>
      <c r="C68" t="n">
        <v>1</v>
      </c>
      <c r="D68" t="n">
        <v>1</v>
      </c>
      <c r="E68" t="n">
        <v>0</v>
      </c>
      <c r="F68" t="n">
        <v>0</v>
      </c>
      <c r="G68" t="b">
        <v>1</v>
      </c>
      <c r="H68" t="n">
        <v>0</v>
      </c>
      <c r="I68" t="n">
        <v>0</v>
      </c>
      <c r="J68" t="n">
        <v>0</v>
      </c>
      <c r="K68" t="n">
        <v>2</v>
      </c>
      <c r="L68" t="n">
        <v>1</v>
      </c>
      <c r="M68" t="n">
        <v>0</v>
      </c>
      <c r="N68" t="n">
        <v>0</v>
      </c>
      <c r="O68" t="n">
        <v>2</v>
      </c>
      <c r="P68" s="7">
        <f>IF(SUM(H68:K68)=0,"",H68/SUM(H68:K68))</f>
        <v/>
      </c>
      <c r="Q68" s="7">
        <f>IF(SUM(H68:K68)=0,"",I68/SUM(H68:K68))</f>
        <v/>
      </c>
      <c r="R68" s="7">
        <f>IF(SUM(H68:K68)=0,"",J68/SUM(H68:K68))</f>
        <v/>
      </c>
      <c r="S68" s="7">
        <f>IF(SUM(H68:K68)=0,"",K68/SUM(H68:K68))</f>
        <v/>
      </c>
      <c r="T68" s="7">
        <f>IF(SUM(L68:O68)=0,"",L68/SUM(L68:O68))</f>
        <v/>
      </c>
      <c r="U68" s="7">
        <f>IF(SUM(L68:O68)=0,"",M68/SUM(L68:O68))</f>
        <v/>
      </c>
      <c r="V68" s="7">
        <f>IF(SUM(L68:O68)=0,"",N68/SUM(L68:O68))</f>
        <v/>
      </c>
      <c r="W68" s="7">
        <f>IF(SUM(L68:O68)=0,"",O68/SUM(L68:O68))</f>
        <v/>
      </c>
    </row>
    <row r="69">
      <c r="A69" t="n">
        <v>74</v>
      </c>
      <c r="B69" t="inlineStr">
        <is>
          <t>I've had a long standing belief that there needed to be a greater level of support in healing our society in the context of our racial gap, which is both horrendous and unconscionable.</t>
        </is>
      </c>
      <c r="C69" t="n">
        <v>1</v>
      </c>
      <c r="D69" t="n">
        <v>1</v>
      </c>
      <c r="E69" t="n">
        <v>0</v>
      </c>
      <c r="F69" t="n">
        <v>0</v>
      </c>
      <c r="G69" t="b">
        <v>1</v>
      </c>
      <c r="H69" t="n">
        <v>0</v>
      </c>
      <c r="I69" t="n">
        <v>0</v>
      </c>
      <c r="J69" t="n">
        <v>0</v>
      </c>
      <c r="K69" t="n">
        <v>2</v>
      </c>
      <c r="L69" t="n">
        <v>0</v>
      </c>
      <c r="M69" t="n">
        <v>0</v>
      </c>
      <c r="N69" t="n">
        <v>1</v>
      </c>
      <c r="O69" t="n">
        <v>2</v>
      </c>
      <c r="P69" s="7">
        <f>IF(SUM(H69:K69)=0,"",H69/SUM(H69:K69))</f>
        <v/>
      </c>
      <c r="Q69" s="7">
        <f>IF(SUM(H69:K69)=0,"",I69/SUM(H69:K69))</f>
        <v/>
      </c>
      <c r="R69" s="7">
        <f>IF(SUM(H69:K69)=0,"",J69/SUM(H69:K69))</f>
        <v/>
      </c>
      <c r="S69" s="7">
        <f>IF(SUM(H69:K69)=0,"",K69/SUM(H69:K69))</f>
        <v/>
      </c>
      <c r="T69" s="7">
        <f>IF(SUM(L69:O69)=0,"",L69/SUM(L69:O69))</f>
        <v/>
      </c>
      <c r="U69" s="7">
        <f>IF(SUM(L69:O69)=0,"",M69/SUM(L69:O69))</f>
        <v/>
      </c>
      <c r="V69" s="7">
        <f>IF(SUM(L69:O69)=0,"",N69/SUM(L69:O69))</f>
        <v/>
      </c>
      <c r="W69" s="7">
        <f>IF(SUM(L69:O69)=0,"",O69/SUM(L69:O69))</f>
        <v/>
      </c>
    </row>
    <row r="70">
      <c r="A70" t="n">
        <v>75</v>
      </c>
      <c r="B70" t="inlineStr">
        <is>
          <t>It's endemic to our culture: a schism based on race that's so pervasive, it's often impossible for people who look like me to see it until it is pointed out.</t>
        </is>
      </c>
      <c r="C70" t="n">
        <v>1</v>
      </c>
      <c r="D70" t="n">
        <v>1</v>
      </c>
      <c r="E70" t="n">
        <v>1</v>
      </c>
      <c r="F70" t="n">
        <v>0</v>
      </c>
      <c r="G70" t="b">
        <v>1</v>
      </c>
      <c r="H70" t="n">
        <v>0</v>
      </c>
      <c r="I70" t="n">
        <v>0</v>
      </c>
      <c r="J70" t="n">
        <v>0</v>
      </c>
      <c r="K70" t="n">
        <v>0</v>
      </c>
      <c r="L70" t="n">
        <v>0</v>
      </c>
      <c r="M70" t="n">
        <v>0</v>
      </c>
      <c r="N70" t="n">
        <v>1</v>
      </c>
      <c r="O70" t="n">
        <v>2</v>
      </c>
      <c r="P70" s="7">
        <f>IF(SUM(H70:K70)=0,"",H70/SUM(H70:K70))</f>
        <v/>
      </c>
      <c r="Q70" s="7">
        <f>IF(SUM(H70:K70)=0,"",I70/SUM(H70:K70))</f>
        <v/>
      </c>
      <c r="R70" s="7">
        <f>IF(SUM(H70:K70)=0,"",J70/SUM(H70:K70))</f>
        <v/>
      </c>
      <c r="S70" s="7">
        <f>IF(SUM(H70:K70)=0,"",K70/SUM(H70:K70))</f>
        <v/>
      </c>
      <c r="T70" s="7">
        <f>IF(SUM(L70:O70)=0,"",L70/SUM(L70:O70))</f>
        <v/>
      </c>
      <c r="U70" s="7">
        <f>IF(SUM(L70:O70)=0,"",M70/SUM(L70:O70))</f>
        <v/>
      </c>
      <c r="V70" s="7">
        <f>IF(SUM(L70:O70)=0,"",N70/SUM(L70:O70))</f>
        <v/>
      </c>
      <c r="W70" s="7">
        <f>IF(SUM(L70:O70)=0,"",O70/SUM(L70:O70))</f>
        <v/>
      </c>
    </row>
    <row r="71">
      <c r="A71" t="n">
        <v>76</v>
      </c>
      <c r="B71" t="inlineStr">
        <is>
          <t>I am a member of Beth Emet synagogue, which is very actively engaged.</t>
        </is>
      </c>
      <c r="C71" t="n">
        <v>1</v>
      </c>
      <c r="D71" t="n">
        <v>1</v>
      </c>
      <c r="E71" t="n">
        <v>0</v>
      </c>
      <c r="F71" t="n">
        <v>0</v>
      </c>
      <c r="G71" t="b">
        <v>1</v>
      </c>
      <c r="H71" t="n">
        <v>0</v>
      </c>
      <c r="I71" t="n">
        <v>0</v>
      </c>
      <c r="J71" t="n">
        <v>0</v>
      </c>
      <c r="K71" t="n">
        <v>2</v>
      </c>
      <c r="L71" t="n">
        <v>0</v>
      </c>
      <c r="M71" t="n">
        <v>2</v>
      </c>
      <c r="N71" t="n">
        <v>0</v>
      </c>
      <c r="O71" t="n">
        <v>1</v>
      </c>
      <c r="P71" s="7">
        <f>IF(SUM(H71:K71)=0,"",H71/SUM(H71:K71))</f>
        <v/>
      </c>
      <c r="Q71" s="7">
        <f>IF(SUM(H71:K71)=0,"",I71/SUM(H71:K71))</f>
        <v/>
      </c>
      <c r="R71" s="7">
        <f>IF(SUM(H71:K71)=0,"",J71/SUM(H71:K71))</f>
        <v/>
      </c>
      <c r="S71" s="7">
        <f>IF(SUM(H71:K71)=0,"",K71/SUM(H71:K71))</f>
        <v/>
      </c>
      <c r="T71" s="7">
        <f>IF(SUM(L71:O71)=0,"",L71/SUM(L71:O71))</f>
        <v/>
      </c>
      <c r="U71" s="7">
        <f>IF(SUM(L71:O71)=0,"",M71/SUM(L71:O71))</f>
        <v/>
      </c>
      <c r="V71" s="7">
        <f>IF(SUM(L71:O71)=0,"",N71/SUM(L71:O71))</f>
        <v/>
      </c>
      <c r="W71" s="7">
        <f>IF(SUM(L71:O71)=0,"",O71/SUM(L71:O71))</f>
        <v/>
      </c>
    </row>
    <row r="72">
      <c r="A72" t="n">
        <v>77</v>
      </c>
      <c r="B72" t="inlineStr">
        <is>
          <t>I became the de facto leader of a working group to educate and build support for reparations, which has now expanded into an outreach effort to other faith-based communities.</t>
        </is>
      </c>
      <c r="C72" t="n">
        <v>1</v>
      </c>
      <c r="D72" t="n">
        <v>1</v>
      </c>
      <c r="E72" t="n">
        <v>0</v>
      </c>
      <c r="F72" t="n">
        <v>0</v>
      </c>
      <c r="G72" t="b">
        <v>1</v>
      </c>
      <c r="H72" t="n">
        <v>0</v>
      </c>
      <c r="I72" t="n">
        <v>0</v>
      </c>
      <c r="J72" t="n">
        <v>0</v>
      </c>
      <c r="K72" t="n">
        <v>2</v>
      </c>
      <c r="L72" t="n">
        <v>0</v>
      </c>
      <c r="M72" t="n">
        <v>1</v>
      </c>
      <c r="N72" t="n">
        <v>0</v>
      </c>
      <c r="O72" t="n">
        <v>2</v>
      </c>
      <c r="P72" s="7">
        <f>IF(SUM(H72:K72)=0,"",H72/SUM(H72:K72))</f>
        <v/>
      </c>
      <c r="Q72" s="7">
        <f>IF(SUM(H72:K72)=0,"",I72/SUM(H72:K72))</f>
        <v/>
      </c>
      <c r="R72" s="7">
        <f>IF(SUM(H72:K72)=0,"",J72/SUM(H72:K72))</f>
        <v/>
      </c>
      <c r="S72" s="7">
        <f>IF(SUM(H72:K72)=0,"",K72/SUM(H72:K72))</f>
        <v/>
      </c>
      <c r="T72" s="7">
        <f>IF(SUM(L72:O72)=0,"",L72/SUM(L72:O72))</f>
        <v/>
      </c>
      <c r="U72" s="7">
        <f>IF(SUM(L72:O72)=0,"",M72/SUM(L72:O72))</f>
        <v/>
      </c>
      <c r="V72" s="7">
        <f>IF(SUM(L72:O72)=0,"",N72/SUM(L72:O72))</f>
        <v/>
      </c>
      <c r="W72" s="7">
        <f>IF(SUM(L72:O72)=0,"",O72/SUM(L72:O72))</f>
        <v/>
      </c>
    </row>
    <row r="73">
      <c r="A73" t="n">
        <v>78</v>
      </c>
      <c r="B73" t="inlineStr">
        <is>
          <t>In Jewish teaching, there's a focus on mutual accountability and  responsibility to others.</t>
        </is>
      </c>
      <c r="C73" t="n">
        <v>1</v>
      </c>
      <c r="D73" t="n">
        <v>1</v>
      </c>
      <c r="E73" t="n">
        <v>0</v>
      </c>
      <c r="F73" t="n">
        <v>0</v>
      </c>
      <c r="G73" t="b">
        <v>1</v>
      </c>
      <c r="H73" t="n">
        <v>0</v>
      </c>
      <c r="I73" t="n">
        <v>0</v>
      </c>
      <c r="J73" t="n">
        <v>0</v>
      </c>
      <c r="K73" t="n">
        <v>2</v>
      </c>
      <c r="L73" t="n">
        <v>0</v>
      </c>
      <c r="M73" t="n">
        <v>1</v>
      </c>
      <c r="N73" t="n">
        <v>0</v>
      </c>
      <c r="O73" t="n">
        <v>2</v>
      </c>
      <c r="P73" s="7">
        <f>IF(SUM(H73:K73)=0,"",H73/SUM(H73:K73))</f>
        <v/>
      </c>
      <c r="Q73" s="7">
        <f>IF(SUM(H73:K73)=0,"",I73/SUM(H73:K73))</f>
        <v/>
      </c>
      <c r="R73" s="7">
        <f>IF(SUM(H73:K73)=0,"",J73/SUM(H73:K73))</f>
        <v/>
      </c>
      <c r="S73" s="7">
        <f>IF(SUM(H73:K73)=0,"",K73/SUM(H73:K73))</f>
        <v/>
      </c>
      <c r="T73" s="7">
        <f>IF(SUM(L73:O73)=0,"",L73/SUM(L73:O73))</f>
        <v/>
      </c>
      <c r="U73" s="7">
        <f>IF(SUM(L73:O73)=0,"",M73/SUM(L73:O73))</f>
        <v/>
      </c>
      <c r="V73" s="7">
        <f>IF(SUM(L73:O73)=0,"",N73/SUM(L73:O73))</f>
        <v/>
      </c>
      <c r="W73" s="7">
        <f>IF(SUM(L73:O73)=0,"",O73/SUM(L73:O73))</f>
        <v/>
      </c>
    </row>
    <row r="74">
      <c r="A74" t="n">
        <v>79</v>
      </c>
      <c r="B74" t="inlineStr">
        <is>
          <t>The core concept that has always impacted me is tikkun olam, which is 'repair the broken world.'</t>
        </is>
      </c>
      <c r="C74" t="n">
        <v>1</v>
      </c>
      <c r="D74" t="n">
        <v>1</v>
      </c>
      <c r="E74" t="n">
        <v>0</v>
      </c>
      <c r="F74" t="n">
        <v>0</v>
      </c>
      <c r="G74" t="b">
        <v>1</v>
      </c>
      <c r="H74" t="n">
        <v>0</v>
      </c>
      <c r="I74" t="n">
        <v>0</v>
      </c>
      <c r="J74" t="n">
        <v>0</v>
      </c>
      <c r="K74" t="n">
        <v>2</v>
      </c>
      <c r="L74" t="n">
        <v>0</v>
      </c>
      <c r="M74" t="n">
        <v>1</v>
      </c>
      <c r="N74" t="n">
        <v>0</v>
      </c>
      <c r="O74" t="n">
        <v>2</v>
      </c>
      <c r="P74" s="7">
        <f>IF(SUM(H74:K74)=0,"",H74/SUM(H74:K74))</f>
        <v/>
      </c>
      <c r="Q74" s="7">
        <f>IF(SUM(H74:K74)=0,"",I74/SUM(H74:K74))</f>
        <v/>
      </c>
      <c r="R74" s="7">
        <f>IF(SUM(H74:K74)=0,"",J74/SUM(H74:K74))</f>
        <v/>
      </c>
      <c r="S74" s="7">
        <f>IF(SUM(H74:K74)=0,"",K74/SUM(H74:K74))</f>
        <v/>
      </c>
      <c r="T74" s="7">
        <f>IF(SUM(L74:O74)=0,"",L74/SUM(L74:O74))</f>
        <v/>
      </c>
      <c r="U74" s="7">
        <f>IF(SUM(L74:O74)=0,"",M74/SUM(L74:O74))</f>
        <v/>
      </c>
      <c r="V74" s="7">
        <f>IF(SUM(L74:O74)=0,"",N74/SUM(L74:O74))</f>
        <v/>
      </c>
      <c r="W74" s="7">
        <f>IF(SUM(L74:O74)=0,"",O74/SUM(L74:O74))</f>
        <v/>
      </c>
    </row>
    <row r="75">
      <c r="A75" t="n">
        <v>80</v>
      </c>
      <c r="B75" t="inlineStr">
        <is>
          <t>It is all of our responsibilities to do that.</t>
        </is>
      </c>
      <c r="C75" t="n">
        <v>1</v>
      </c>
      <c r="D75" t="n">
        <v>1</v>
      </c>
      <c r="E75" t="n">
        <v>0</v>
      </c>
      <c r="F75" t="n">
        <v>0</v>
      </c>
      <c r="G75" t="b">
        <v>1</v>
      </c>
      <c r="H75" t="n">
        <v>0</v>
      </c>
      <c r="I75" t="n">
        <v>0</v>
      </c>
      <c r="J75" t="n">
        <v>0</v>
      </c>
      <c r="K75" t="n">
        <v>2</v>
      </c>
      <c r="L75" t="n">
        <v>0</v>
      </c>
      <c r="M75" t="n">
        <v>0</v>
      </c>
      <c r="N75" t="n">
        <v>1</v>
      </c>
      <c r="O75" t="n">
        <v>2</v>
      </c>
      <c r="P75" s="7">
        <f>IF(SUM(H75:K75)=0,"",H75/SUM(H75:K75))</f>
        <v/>
      </c>
      <c r="Q75" s="7">
        <f>IF(SUM(H75:K75)=0,"",I75/SUM(H75:K75))</f>
        <v/>
      </c>
      <c r="R75" s="7">
        <f>IF(SUM(H75:K75)=0,"",J75/SUM(H75:K75))</f>
        <v/>
      </c>
      <c r="S75" s="7">
        <f>IF(SUM(H75:K75)=0,"",K75/SUM(H75:K75))</f>
        <v/>
      </c>
      <c r="T75" s="7">
        <f>IF(SUM(L75:O75)=0,"",L75/SUM(L75:O75))</f>
        <v/>
      </c>
      <c r="U75" s="7">
        <f>IF(SUM(L75:O75)=0,"",M75/SUM(L75:O75))</f>
        <v/>
      </c>
      <c r="V75" s="7">
        <f>IF(SUM(L75:O75)=0,"",N75/SUM(L75:O75))</f>
        <v/>
      </c>
      <c r="W75" s="7">
        <f>IF(SUM(L75:O75)=0,"",O75/SUM(L75:O75))</f>
        <v/>
      </c>
    </row>
    <row r="76">
      <c r="A76" t="n">
        <v>81</v>
      </c>
      <c r="B76" t="inlineStr">
        <is>
          <t>There is also teshuva, which is reparations.</t>
        </is>
      </c>
      <c r="C76" t="n">
        <v>1</v>
      </c>
      <c r="D76" t="n">
        <v>0</v>
      </c>
      <c r="E76" t="n">
        <v>0</v>
      </c>
      <c r="F76" t="n">
        <v>0</v>
      </c>
      <c r="G76" t="b">
        <v>0</v>
      </c>
      <c r="H76" t="n">
        <v>0</v>
      </c>
      <c r="I76" t="n">
        <v>0</v>
      </c>
      <c r="J76" t="n">
        <v>0</v>
      </c>
      <c r="K76" t="n">
        <v>2</v>
      </c>
      <c r="L76" t="n">
        <v>0</v>
      </c>
      <c r="M76" t="n">
        <v>0</v>
      </c>
      <c r="N76" t="n">
        <v>0</v>
      </c>
      <c r="O76" t="n">
        <v>0</v>
      </c>
      <c r="P76" s="7">
        <f>IF(SUM(H76:K76)=0,"",H76/SUM(H76:K76))</f>
        <v/>
      </c>
      <c r="Q76" s="7">
        <f>IF(SUM(H76:K76)=0,"",I76/SUM(H76:K76))</f>
        <v/>
      </c>
      <c r="R76" s="7">
        <f>IF(SUM(H76:K76)=0,"",J76/SUM(H76:K76))</f>
        <v/>
      </c>
      <c r="S76" s="7">
        <f>IF(SUM(H76:K76)=0,"",K76/SUM(H76:K76))</f>
        <v/>
      </c>
      <c r="T76" s="7">
        <f>IF(SUM(L76:O76)=0,"",L76/SUM(L76:O76))</f>
        <v/>
      </c>
      <c r="U76" s="7">
        <f>IF(SUM(L76:O76)=0,"",M76/SUM(L76:O76))</f>
        <v/>
      </c>
      <c r="V76" s="7">
        <f>IF(SUM(L76:O76)=0,"",N76/SUM(L76:O76))</f>
        <v/>
      </c>
      <c r="W76" s="7">
        <f>IF(SUM(L76:O76)=0,"",O76/SUM(L76:O76))</f>
        <v/>
      </c>
    </row>
    <row r="77">
      <c r="A77" t="n">
        <v>82</v>
      </c>
      <c r="B77" t="inlineStr">
        <is>
          <t>If you have done harm to a neighbor, either purposely or inadvertently, it is your responsibility to repair that harm.</t>
        </is>
      </c>
      <c r="C77" t="n">
        <v>1</v>
      </c>
      <c r="D77" t="n">
        <v>1</v>
      </c>
      <c r="E77" t="n">
        <v>0</v>
      </c>
      <c r="F77" t="n">
        <v>0</v>
      </c>
      <c r="G77" t="b">
        <v>1</v>
      </c>
      <c r="H77" t="n">
        <v>0</v>
      </c>
      <c r="I77" t="n">
        <v>0</v>
      </c>
      <c r="J77" t="n">
        <v>0</v>
      </c>
      <c r="K77" t="n">
        <v>2</v>
      </c>
      <c r="L77" t="n">
        <v>0</v>
      </c>
      <c r="M77" t="n">
        <v>0</v>
      </c>
      <c r="N77" t="n">
        <v>1</v>
      </c>
      <c r="O77" t="n">
        <v>2</v>
      </c>
      <c r="P77" s="7">
        <f>IF(SUM(H77:K77)=0,"",H77/SUM(H77:K77))</f>
        <v/>
      </c>
      <c r="Q77" s="7">
        <f>IF(SUM(H77:K77)=0,"",I77/SUM(H77:K77))</f>
        <v/>
      </c>
      <c r="R77" s="7">
        <f>IF(SUM(H77:K77)=0,"",J77/SUM(H77:K77))</f>
        <v/>
      </c>
      <c r="S77" s="7">
        <f>IF(SUM(H77:K77)=0,"",K77/SUM(H77:K77))</f>
        <v/>
      </c>
      <c r="T77" s="7">
        <f>IF(SUM(L77:O77)=0,"",L77/SUM(L77:O77))</f>
        <v/>
      </c>
      <c r="U77" s="7">
        <f>IF(SUM(L77:O77)=0,"",M77/SUM(L77:O77))</f>
        <v/>
      </c>
      <c r="V77" s="7">
        <f>IF(SUM(L77:O77)=0,"",N77/SUM(L77:O77))</f>
        <v/>
      </c>
      <c r="W77" s="7">
        <f>IF(SUM(L77:O77)=0,"",O77/SUM(L77:O77))</f>
        <v/>
      </c>
    </row>
    <row r="78">
      <c r="A78" t="n">
        <v>83</v>
      </c>
      <c r="B78" t="inlineStr">
        <is>
          <t>We cannot live fully without actually seeing people as people-not objects, not stereotypesand appreciating them for who they are.'</t>
        </is>
      </c>
      <c r="C78" t="n">
        <v>1</v>
      </c>
      <c r="D78" t="n">
        <v>1</v>
      </c>
      <c r="E78" t="n">
        <v>0</v>
      </c>
      <c r="F78" t="n">
        <v>0</v>
      </c>
      <c r="G78" t="b">
        <v>1</v>
      </c>
      <c r="H78" t="n">
        <v>0</v>
      </c>
      <c r="I78" t="n">
        <v>0</v>
      </c>
      <c r="J78" t="n">
        <v>0</v>
      </c>
      <c r="K78" t="n">
        <v>2</v>
      </c>
      <c r="L78" t="n">
        <v>0</v>
      </c>
      <c r="M78" t="n">
        <v>0</v>
      </c>
      <c r="N78" t="n">
        <v>1</v>
      </c>
      <c r="O78" t="n">
        <v>2</v>
      </c>
      <c r="P78" s="7">
        <f>IF(SUM(H78:K78)=0,"",H78/SUM(H78:K78))</f>
        <v/>
      </c>
      <c r="Q78" s="7">
        <f>IF(SUM(H78:K78)=0,"",I78/SUM(H78:K78))</f>
        <v/>
      </c>
      <c r="R78" s="7">
        <f>IF(SUM(H78:K78)=0,"",J78/SUM(H78:K78))</f>
        <v/>
      </c>
      <c r="S78" s="7">
        <f>IF(SUM(H78:K78)=0,"",K78/SUM(H78:K78))</f>
        <v/>
      </c>
      <c r="T78" s="7">
        <f>IF(SUM(L78:O78)=0,"",L78/SUM(L78:O78))</f>
        <v/>
      </c>
      <c r="U78" s="7">
        <f>IF(SUM(L78:O78)=0,"",M78/SUM(L78:O78))</f>
        <v/>
      </c>
      <c r="V78" s="7">
        <f>IF(SUM(L78:O78)=0,"",N78/SUM(L78:O78))</f>
        <v/>
      </c>
      <c r="W78" s="7">
        <f>IF(SUM(L78:O78)=0,"",O78/SUM(L78:O78))</f>
        <v/>
      </c>
    </row>
    <row r="79">
      <c r="A79" t="n">
        <v>85</v>
      </c>
      <c r="B79" t="inlineStr">
        <is>
          <t>' Before my family came to Evanston, like many families in the Black community, they migrated here during the Great Migration.</t>
        </is>
      </c>
      <c r="C79" t="n">
        <v>1</v>
      </c>
      <c r="D79" t="n">
        <v>1</v>
      </c>
      <c r="E79" t="n">
        <v>0</v>
      </c>
      <c r="F79" t="n">
        <v>0</v>
      </c>
      <c r="G79" t="b">
        <v>1</v>
      </c>
      <c r="H79" t="n">
        <v>0</v>
      </c>
      <c r="I79" t="n">
        <v>0</v>
      </c>
      <c r="J79" t="n">
        <v>0</v>
      </c>
      <c r="K79" t="n">
        <v>2</v>
      </c>
      <c r="L79" t="n">
        <v>1</v>
      </c>
      <c r="M79" t="n">
        <v>0</v>
      </c>
      <c r="N79" t="n">
        <v>0</v>
      </c>
      <c r="O79" t="n">
        <v>2</v>
      </c>
      <c r="P79" s="7">
        <f>IF(SUM(H79:K79)=0,"",H79/SUM(H79:K79))</f>
        <v/>
      </c>
      <c r="Q79" s="7">
        <f>IF(SUM(H79:K79)=0,"",I79/SUM(H79:K79))</f>
        <v/>
      </c>
      <c r="R79" s="7">
        <f>IF(SUM(H79:K79)=0,"",J79/SUM(H79:K79))</f>
        <v/>
      </c>
      <c r="S79" s="7">
        <f>IF(SUM(H79:K79)=0,"",K79/SUM(H79:K79))</f>
        <v/>
      </c>
      <c r="T79" s="7">
        <f>IF(SUM(L79:O79)=0,"",L79/SUM(L79:O79))</f>
        <v/>
      </c>
      <c r="U79" s="7">
        <f>IF(SUM(L79:O79)=0,"",M79/SUM(L79:O79))</f>
        <v/>
      </c>
      <c r="V79" s="7">
        <f>IF(SUM(L79:O79)=0,"",N79/SUM(L79:O79))</f>
        <v/>
      </c>
      <c r="W79" s="7">
        <f>IF(SUM(L79:O79)=0,"",O79/SUM(L79:O79))</f>
        <v/>
      </c>
    </row>
    <row r="80">
      <c r="A80" t="n">
        <v>86</v>
      </c>
      <c r="B80" t="inlineStr">
        <is>
          <t>It was segregated, but it was a better opportunity than the communities that they came from. It wasn't because we were intellectually inferior or had less work ethic that we lived in lesser conditions than the rest of Evanston.</t>
        </is>
      </c>
      <c r="C80" t="n">
        <v>1</v>
      </c>
      <c r="D80" t="n">
        <v>1</v>
      </c>
      <c r="E80" t="n">
        <v>0</v>
      </c>
      <c r="F80" t="n">
        <v>0</v>
      </c>
      <c r="G80" t="b">
        <v>1</v>
      </c>
      <c r="H80" t="n">
        <v>0</v>
      </c>
      <c r="I80" t="n">
        <v>0</v>
      </c>
      <c r="J80" t="n">
        <v>0</v>
      </c>
      <c r="K80" t="n">
        <v>2</v>
      </c>
      <c r="L80" t="n">
        <v>1</v>
      </c>
      <c r="M80" t="n">
        <v>0</v>
      </c>
      <c r="N80" t="n">
        <v>0</v>
      </c>
      <c r="O80" t="n">
        <v>2</v>
      </c>
      <c r="P80" s="7">
        <f>IF(SUM(H80:K80)=0,"",H80/SUM(H80:K80))</f>
        <v/>
      </c>
      <c r="Q80" s="7">
        <f>IF(SUM(H80:K80)=0,"",I80/SUM(H80:K80))</f>
        <v/>
      </c>
      <c r="R80" s="7">
        <f>IF(SUM(H80:K80)=0,"",J80/SUM(H80:K80))</f>
        <v/>
      </c>
      <c r="S80" s="7">
        <f>IF(SUM(H80:K80)=0,"",K80/SUM(H80:K80))</f>
        <v/>
      </c>
      <c r="T80" s="7">
        <f>IF(SUM(L80:O80)=0,"",L80/SUM(L80:O80))</f>
        <v/>
      </c>
      <c r="U80" s="7">
        <f>IF(SUM(L80:O80)=0,"",M80/SUM(L80:O80))</f>
        <v/>
      </c>
      <c r="V80" s="7">
        <f>IF(SUM(L80:O80)=0,"",N80/SUM(L80:O80))</f>
        <v/>
      </c>
      <c r="W80" s="7">
        <f>IF(SUM(L80:O80)=0,"",O80/SUM(L80:O80))</f>
        <v/>
      </c>
    </row>
    <row r="81">
      <c r="A81" t="n">
        <v>87</v>
      </c>
      <c r="B81" t="inlineStr">
        <is>
          <t>I've launched and operated multiple businesses, including a bookstore that offered free after-school programming and a construction company that employed Black tradespeople developing affordable houses funded by the Illinois Neighborhood Stabilization Program.</t>
        </is>
      </c>
      <c r="C81" t="n">
        <v>0</v>
      </c>
      <c r="D81" t="n">
        <v>0</v>
      </c>
      <c r="E81" t="n">
        <v>0</v>
      </c>
      <c r="F81" t="n">
        <v>0</v>
      </c>
      <c r="G81" t="b">
        <v>0</v>
      </c>
      <c r="H81" t="n">
        <v>0</v>
      </c>
      <c r="I81" t="n">
        <v>0</v>
      </c>
      <c r="J81" t="n">
        <v>0</v>
      </c>
      <c r="K81" t="n">
        <v>0</v>
      </c>
      <c r="L81" t="n">
        <v>0</v>
      </c>
      <c r="M81" t="n">
        <v>0</v>
      </c>
      <c r="N81" t="n">
        <v>0</v>
      </c>
      <c r="O81" t="n">
        <v>0</v>
      </c>
      <c r="P81" s="7">
        <f>IF(SUM(H81:K81)=0,"",H81/SUM(H81:K81))</f>
        <v/>
      </c>
      <c r="Q81" s="7">
        <f>IF(SUM(H81:K81)=0,"",I81/SUM(H81:K81))</f>
        <v/>
      </c>
      <c r="R81" s="7">
        <f>IF(SUM(H81:K81)=0,"",J81/SUM(H81:K81))</f>
        <v/>
      </c>
      <c r="S81" s="7">
        <f>IF(SUM(H81:K81)=0,"",K81/SUM(H81:K81))</f>
        <v/>
      </c>
      <c r="T81" s="7">
        <f>IF(SUM(L81:O81)=0,"",L81/SUM(L81:O81))</f>
        <v/>
      </c>
      <c r="U81" s="7">
        <f>IF(SUM(L81:O81)=0,"",M81/SUM(L81:O81))</f>
        <v/>
      </c>
      <c r="V81" s="7">
        <f>IF(SUM(L81:O81)=0,"",N81/SUM(L81:O81))</f>
        <v/>
      </c>
      <c r="W81" s="7">
        <f>IF(SUM(L81:O81)=0,"",O81/SUM(L81:O81))</f>
        <v/>
      </c>
    </row>
    <row r="82">
      <c r="A82" t="n">
        <v>88</v>
      </c>
      <c r="B82" t="inlineStr">
        <is>
          <t>In February 2019, I came to the revelation that equity is not enough to address the egregious harms to the Black community and that reparations at the local level were in order based on the conditions in Black Evanston.</t>
        </is>
      </c>
      <c r="C82" t="n">
        <v>1</v>
      </c>
      <c r="D82" t="n">
        <v>1</v>
      </c>
      <c r="E82" t="n">
        <v>0</v>
      </c>
      <c r="F82" t="n">
        <v>0</v>
      </c>
      <c r="G82" t="b">
        <v>1</v>
      </c>
      <c r="H82" t="n">
        <v>0</v>
      </c>
      <c r="I82" t="n">
        <v>0</v>
      </c>
      <c r="J82" t="n">
        <v>0</v>
      </c>
      <c r="K82" t="n">
        <v>2</v>
      </c>
      <c r="L82" t="n">
        <v>1</v>
      </c>
      <c r="M82" t="n">
        <v>0</v>
      </c>
      <c r="N82" t="n">
        <v>0</v>
      </c>
      <c r="O82" t="n">
        <v>2</v>
      </c>
      <c r="P82" s="7">
        <f>IF(SUM(H82:K82)=0,"",H82/SUM(H82:K82))</f>
        <v/>
      </c>
      <c r="Q82" s="7">
        <f>IF(SUM(H82:K82)=0,"",I82/SUM(H82:K82))</f>
        <v/>
      </c>
      <c r="R82" s="7">
        <f>IF(SUM(H82:K82)=0,"",J82/SUM(H82:K82))</f>
        <v/>
      </c>
      <c r="S82" s="7">
        <f>IF(SUM(H82:K82)=0,"",K82/SUM(H82:K82))</f>
        <v/>
      </c>
      <c r="T82" s="7">
        <f>IF(SUM(L82:O82)=0,"",L82/SUM(L82:O82))</f>
        <v/>
      </c>
      <c r="U82" s="7">
        <f>IF(SUM(L82:O82)=0,"",M82/SUM(L82:O82))</f>
        <v/>
      </c>
      <c r="V82" s="7">
        <f>IF(SUM(L82:O82)=0,"",N82/SUM(L82:O82))</f>
        <v/>
      </c>
      <c r="W82" s="7">
        <f>IF(SUM(L82:O82)=0,"",O82/SUM(L82:O82))</f>
        <v/>
      </c>
    </row>
    <row r="83">
      <c r="A83" t="n">
        <v>89</v>
      </c>
      <c r="B83" t="inlineStr">
        <is>
          <t>We're not a unique city.</t>
        </is>
      </c>
      <c r="C83" t="n">
        <v>1</v>
      </c>
      <c r="D83" t="n">
        <v>0</v>
      </c>
      <c r="E83" t="n">
        <v>0</v>
      </c>
      <c r="F83" t="n">
        <v>0</v>
      </c>
      <c r="G83" t="b">
        <v>0</v>
      </c>
      <c r="H83" t="n">
        <v>0</v>
      </c>
      <c r="I83" t="n">
        <v>0</v>
      </c>
      <c r="J83" t="n">
        <v>0</v>
      </c>
      <c r="K83" t="n">
        <v>2</v>
      </c>
      <c r="L83" t="n">
        <v>0</v>
      </c>
      <c r="M83" t="n">
        <v>0</v>
      </c>
      <c r="N83" t="n">
        <v>0</v>
      </c>
      <c r="O83" t="n">
        <v>0</v>
      </c>
      <c r="P83" s="7">
        <f>IF(SUM(H83:K83)=0,"",H83/SUM(H83:K83))</f>
        <v/>
      </c>
      <c r="Q83" s="7">
        <f>IF(SUM(H83:K83)=0,"",I83/SUM(H83:K83))</f>
        <v/>
      </c>
      <c r="R83" s="7">
        <f>IF(SUM(H83:K83)=0,"",J83/SUM(H83:K83))</f>
        <v/>
      </c>
      <c r="S83" s="7">
        <f>IF(SUM(H83:K83)=0,"",K83/SUM(H83:K83))</f>
        <v/>
      </c>
      <c r="T83" s="7">
        <f>IF(SUM(L83:O83)=0,"",L83/SUM(L83:O83))</f>
        <v/>
      </c>
      <c r="U83" s="7">
        <f>IF(SUM(L83:O83)=0,"",M83/SUM(L83:O83))</f>
        <v/>
      </c>
      <c r="V83" s="7">
        <f>IF(SUM(L83:O83)=0,"",N83/SUM(L83:O83))</f>
        <v/>
      </c>
      <c r="W83" s="7">
        <f>IF(SUM(L83:O83)=0,"",O83/SUM(L83:O83))</f>
        <v/>
      </c>
    </row>
    <row r="84">
      <c r="A84" t="n">
        <v>90</v>
      </c>
      <c r="B84" t="inlineStr">
        <is>
          <t>We reflect the racial disparity across the nation.</t>
        </is>
      </c>
      <c r="C84" t="n">
        <v>1</v>
      </c>
      <c r="D84" t="n">
        <v>1</v>
      </c>
      <c r="E84" t="n">
        <v>0</v>
      </c>
      <c r="F84" t="n">
        <v>0</v>
      </c>
      <c r="G84" t="b">
        <v>1</v>
      </c>
      <c r="H84" t="n">
        <v>0</v>
      </c>
      <c r="I84" t="n">
        <v>0</v>
      </c>
      <c r="J84" t="n">
        <v>0</v>
      </c>
      <c r="K84" t="n">
        <v>2</v>
      </c>
      <c r="L84" t="n">
        <v>0</v>
      </c>
      <c r="M84" t="n">
        <v>0</v>
      </c>
      <c r="N84" t="n">
        <v>1</v>
      </c>
      <c r="O84" t="n">
        <v>2</v>
      </c>
      <c r="P84" s="7">
        <f>IF(SUM(H84:K84)=0,"",H84/SUM(H84:K84))</f>
        <v/>
      </c>
      <c r="Q84" s="7">
        <f>IF(SUM(H84:K84)=0,"",I84/SUM(H84:K84))</f>
        <v/>
      </c>
      <c r="R84" s="7">
        <f>IF(SUM(H84:K84)=0,"",J84/SUM(H84:K84))</f>
        <v/>
      </c>
      <c r="S84" s="7">
        <f>IF(SUM(H84:K84)=0,"",K84/SUM(H84:K84))</f>
        <v/>
      </c>
      <c r="T84" s="7">
        <f>IF(SUM(L84:O84)=0,"",L84/SUM(L84:O84))</f>
        <v/>
      </c>
      <c r="U84" s="7">
        <f>IF(SUM(L84:O84)=0,"",M84/SUM(L84:O84))</f>
        <v/>
      </c>
      <c r="V84" s="7">
        <f>IF(SUM(L84:O84)=0,"",N84/SUM(L84:O84))</f>
        <v/>
      </c>
      <c r="W84" s="7">
        <f>IF(SUM(L84:O84)=0,"",O84/SUM(L84:O84))</f>
        <v/>
      </c>
    </row>
    <row r="85">
      <c r="A85" t="n">
        <v>91</v>
      </c>
      <c r="B85" t="inlineStr">
        <is>
          <t>What makes us different is that we decided to take this first step-not perfect, not complete.</t>
        </is>
      </c>
      <c r="C85" t="n">
        <v>1</v>
      </c>
      <c r="D85" t="n">
        <v>1</v>
      </c>
      <c r="E85" t="n">
        <v>0</v>
      </c>
      <c r="F85" t="n">
        <v>0</v>
      </c>
      <c r="G85" t="b">
        <v>1</v>
      </c>
      <c r="H85" t="n">
        <v>0</v>
      </c>
      <c r="I85" t="n">
        <v>0</v>
      </c>
      <c r="J85" t="n">
        <v>0</v>
      </c>
      <c r="K85" t="n">
        <v>2</v>
      </c>
      <c r="L85" t="n">
        <v>0</v>
      </c>
      <c r="M85" t="n">
        <v>0</v>
      </c>
      <c r="N85" t="n">
        <v>1</v>
      </c>
      <c r="O85" t="n">
        <v>2</v>
      </c>
      <c r="P85" s="7">
        <f>IF(SUM(H85:K85)=0,"",H85/SUM(H85:K85))</f>
        <v/>
      </c>
      <c r="Q85" s="7">
        <f>IF(SUM(H85:K85)=0,"",I85/SUM(H85:K85))</f>
        <v/>
      </c>
      <c r="R85" s="7">
        <f>IF(SUM(H85:K85)=0,"",J85/SUM(H85:K85))</f>
        <v/>
      </c>
      <c r="S85" s="7">
        <f>IF(SUM(H85:K85)=0,"",K85/SUM(H85:K85))</f>
        <v/>
      </c>
      <c r="T85" s="7">
        <f>IF(SUM(L85:O85)=0,"",L85/SUM(L85:O85))</f>
        <v/>
      </c>
      <c r="U85" s="7">
        <f>IF(SUM(L85:O85)=0,"",M85/SUM(L85:O85))</f>
        <v/>
      </c>
      <c r="V85" s="7">
        <f>IF(SUM(L85:O85)=0,"",N85/SUM(L85:O85))</f>
        <v/>
      </c>
      <c r="W85" s="7">
        <f>IF(SUM(L85:O85)=0,"",O85/SUM(L85:O85))</f>
        <v/>
      </c>
    </row>
    <row r="86">
      <c r="A86" t="n">
        <v>92</v>
      </c>
      <c r="B86" t="inlineStr">
        <is>
          <t>When I submitted my proposal to the city's Equity and Empowerment Commission, my ideas were instantly welcomed.</t>
        </is>
      </c>
      <c r="C86" t="n">
        <v>1</v>
      </c>
      <c r="D86" t="n">
        <v>0</v>
      </c>
      <c r="E86" t="n">
        <v>0</v>
      </c>
      <c r="F86" t="n">
        <v>0</v>
      </c>
      <c r="G86" t="b">
        <v>0</v>
      </c>
      <c r="H86" t="n">
        <v>0</v>
      </c>
      <c r="I86" t="n">
        <v>0</v>
      </c>
      <c r="J86" t="n">
        <v>0</v>
      </c>
      <c r="K86" t="n">
        <v>2</v>
      </c>
      <c r="L86" t="n">
        <v>0</v>
      </c>
      <c r="M86" t="n">
        <v>0</v>
      </c>
      <c r="N86" t="n">
        <v>0</v>
      </c>
      <c r="O86" t="n">
        <v>0</v>
      </c>
      <c r="P86" s="7">
        <f>IF(SUM(H86:K86)=0,"",H86/SUM(H86:K86))</f>
        <v/>
      </c>
      <c r="Q86" s="7">
        <f>IF(SUM(H86:K86)=0,"",I86/SUM(H86:K86))</f>
        <v/>
      </c>
      <c r="R86" s="7">
        <f>IF(SUM(H86:K86)=0,"",J86/SUM(H86:K86))</f>
        <v/>
      </c>
      <c r="S86" s="7">
        <f>IF(SUM(H86:K86)=0,"",K86/SUM(H86:K86))</f>
        <v/>
      </c>
      <c r="T86" s="7">
        <f>IF(SUM(L86:O86)=0,"",L86/SUM(L86:O86))</f>
        <v/>
      </c>
      <c r="U86" s="7">
        <f>IF(SUM(L86:O86)=0,"",M86/SUM(L86:O86))</f>
        <v/>
      </c>
      <c r="V86" s="7">
        <f>IF(SUM(L86:O86)=0,"",N86/SUM(L86:O86))</f>
        <v/>
      </c>
      <c r="W86" s="7">
        <f>IF(SUM(L86:O86)=0,"",O86/SUM(L86:O86))</f>
        <v/>
      </c>
    </row>
    <row r="87">
      <c r="A87" t="n">
        <v>93</v>
      </c>
      <c r="B87" t="inlineStr">
        <is>
          <t>I'm not surprised because it's Evanston.</t>
        </is>
      </c>
      <c r="C87" t="n">
        <v>0</v>
      </c>
      <c r="D87" t="n">
        <v>0</v>
      </c>
      <c r="E87" t="n">
        <v>0</v>
      </c>
      <c r="F87" t="n">
        <v>0</v>
      </c>
      <c r="G87" t="b">
        <v>0</v>
      </c>
      <c r="H87" t="n">
        <v>0</v>
      </c>
      <c r="I87" t="n">
        <v>0</v>
      </c>
      <c r="J87" t="n">
        <v>0</v>
      </c>
      <c r="K87" t="n">
        <v>0</v>
      </c>
      <c r="L87" t="n">
        <v>0</v>
      </c>
      <c r="M87" t="n">
        <v>0</v>
      </c>
      <c r="N87" t="n">
        <v>0</v>
      </c>
      <c r="O87" t="n">
        <v>0</v>
      </c>
      <c r="P87" s="7">
        <f>IF(SUM(H87:K87)=0,"",H87/SUM(H87:K87))</f>
        <v/>
      </c>
      <c r="Q87" s="7">
        <f>IF(SUM(H87:K87)=0,"",I87/SUM(H87:K87))</f>
        <v/>
      </c>
      <c r="R87" s="7">
        <f>IF(SUM(H87:K87)=0,"",J87/SUM(H87:K87))</f>
        <v/>
      </c>
      <c r="S87" s="7">
        <f>IF(SUM(H87:K87)=0,"",K87/SUM(H87:K87))</f>
        <v/>
      </c>
      <c r="T87" s="7">
        <f>IF(SUM(L87:O87)=0,"",L87/SUM(L87:O87))</f>
        <v/>
      </c>
      <c r="U87" s="7">
        <f>IF(SUM(L87:O87)=0,"",M87/SUM(L87:O87))</f>
        <v/>
      </c>
      <c r="V87" s="7">
        <f>IF(SUM(L87:O87)=0,"",N87/SUM(L87:O87))</f>
        <v/>
      </c>
      <c r="W87" s="7">
        <f>IF(SUM(L87:O87)=0,"",O87/SUM(L87:O87))</f>
        <v/>
      </c>
    </row>
    <row r="88">
      <c r="A88" t="n">
        <v>94</v>
      </c>
      <c r="B88" t="inlineStr">
        <is>
          <t>We're progressive. We're a liberal city.'</t>
        </is>
      </c>
      <c r="C88" t="n">
        <v>1</v>
      </c>
      <c r="D88" t="n">
        <v>1</v>
      </c>
      <c r="E88" t="n">
        <v>0</v>
      </c>
      <c r="F88" t="n">
        <v>0</v>
      </c>
      <c r="G88" t="b">
        <v>1</v>
      </c>
      <c r="H88" t="n">
        <v>0</v>
      </c>
      <c r="I88" t="n">
        <v>0</v>
      </c>
      <c r="J88" t="n">
        <v>0</v>
      </c>
      <c r="K88" t="n">
        <v>2</v>
      </c>
      <c r="L88" t="n">
        <v>2</v>
      </c>
      <c r="M88" t="n">
        <v>0</v>
      </c>
      <c r="N88" t="n">
        <v>0</v>
      </c>
      <c r="O88" t="n">
        <v>1</v>
      </c>
      <c r="P88" s="7">
        <f>IF(SUM(H88:K88)=0,"",H88/SUM(H88:K88))</f>
        <v/>
      </c>
      <c r="Q88" s="7">
        <f>IF(SUM(H88:K88)=0,"",I88/SUM(H88:K88))</f>
        <v/>
      </c>
      <c r="R88" s="7">
        <f>IF(SUM(H88:K88)=0,"",J88/SUM(H88:K88))</f>
        <v/>
      </c>
      <c r="S88" s="7">
        <f>IF(SUM(H88:K88)=0,"",K88/SUM(H88:K88))</f>
        <v/>
      </c>
      <c r="T88" s="7">
        <f>IF(SUM(L88:O88)=0,"",L88/SUM(L88:O88))</f>
        <v/>
      </c>
      <c r="U88" s="7">
        <f>IF(SUM(L88:O88)=0,"",M88/SUM(L88:O88))</f>
        <v/>
      </c>
      <c r="V88" s="7">
        <f>IF(SUM(L88:O88)=0,"",N88/SUM(L88:O88))</f>
        <v/>
      </c>
      <c r="W88" s="7">
        <f>IF(SUM(L88:O88)=0,"",O88/SUM(L88:O88))</f>
        <v/>
      </c>
    </row>
    <row r="89">
      <c r="A89" t="n">
        <v>95</v>
      </c>
      <c r="B89" t="inlineStr">
        <is>
          <t>DIRECTOR OF COMMUNITY ENGAGEMENT, EVANSTON CRADLE TO CAREER</t>
        </is>
      </c>
      <c r="C89" t="n">
        <v>0</v>
      </c>
      <c r="D89" t="n">
        <v>1</v>
      </c>
      <c r="E89" t="n">
        <v>0</v>
      </c>
      <c r="F89" t="n">
        <v>0</v>
      </c>
      <c r="G89" t="b">
        <v>0</v>
      </c>
      <c r="H89" t="n">
        <v>0</v>
      </c>
      <c r="I89" t="n">
        <v>0</v>
      </c>
      <c r="J89" t="n">
        <v>0</v>
      </c>
      <c r="K89" t="n">
        <v>0</v>
      </c>
      <c r="L89" t="n">
        <v>0</v>
      </c>
      <c r="M89" t="n">
        <v>0</v>
      </c>
      <c r="N89" t="n">
        <v>2</v>
      </c>
      <c r="O89" t="n">
        <v>1</v>
      </c>
      <c r="P89" s="7">
        <f>IF(SUM(H89:K89)=0,"",H89/SUM(H89:K89))</f>
        <v/>
      </c>
      <c r="Q89" s="7">
        <f>IF(SUM(H89:K89)=0,"",I89/SUM(H89:K89))</f>
        <v/>
      </c>
      <c r="R89" s="7">
        <f>IF(SUM(H89:K89)=0,"",J89/SUM(H89:K89))</f>
        <v/>
      </c>
      <c r="S89" s="7">
        <f>IF(SUM(H89:K89)=0,"",K89/SUM(H89:K89))</f>
        <v/>
      </c>
      <c r="T89" s="7">
        <f>IF(SUM(L89:O89)=0,"",L89/SUM(L89:O89))</f>
        <v/>
      </c>
      <c r="U89" s="7">
        <f>IF(SUM(L89:O89)=0,"",M89/SUM(L89:O89))</f>
        <v/>
      </c>
      <c r="V89" s="7">
        <f>IF(SUM(L89:O89)=0,"",N89/SUM(L89:O89))</f>
        <v/>
      </c>
      <c r="W89" s="7">
        <f>IF(SUM(L89:O89)=0,"",O89/SUM(L89:O89))</f>
        <v/>
      </c>
    </row>
    <row r="90">
      <c r="A90" t="n">
        <v>97</v>
      </c>
      <c r="B90" t="inlineStr">
        <is>
          <t>' We started off wanting to build a community leadership team, where the community led, had a voice, and received leadership training. Then all of a sudden, different organizations said, 'We need community voices too.'</t>
        </is>
      </c>
      <c r="C90" t="n">
        <v>1</v>
      </c>
      <c r="D90" t="n">
        <v>2</v>
      </c>
      <c r="E90" t="n">
        <v>0</v>
      </c>
      <c r="F90" t="n">
        <v>0</v>
      </c>
      <c r="G90" t="b">
        <v>1</v>
      </c>
      <c r="H90" t="n">
        <v>0</v>
      </c>
      <c r="I90" t="n">
        <v>0</v>
      </c>
      <c r="J90" t="n">
        <v>2</v>
      </c>
      <c r="K90" t="n">
        <v>1</v>
      </c>
      <c r="L90" t="n">
        <v>0</v>
      </c>
      <c r="M90" t="n">
        <v>0</v>
      </c>
      <c r="N90" t="n">
        <v>2</v>
      </c>
      <c r="O90" t="n">
        <v>4</v>
      </c>
      <c r="P90" s="7">
        <f>IF(SUM(H90:K90)=0,"",H90/SUM(H90:K90))</f>
        <v/>
      </c>
      <c r="Q90" s="7">
        <f>IF(SUM(H90:K90)=0,"",I90/SUM(H90:K90))</f>
        <v/>
      </c>
      <c r="R90" s="7">
        <f>IF(SUM(H90:K90)=0,"",J90/SUM(H90:K90))</f>
        <v/>
      </c>
      <c r="S90" s="7">
        <f>IF(SUM(H90:K90)=0,"",K90/SUM(H90:K90))</f>
        <v/>
      </c>
      <c r="T90" s="7">
        <f>IF(SUM(L90:O90)=0,"",L90/SUM(L90:O90))</f>
        <v/>
      </c>
      <c r="U90" s="7">
        <f>IF(SUM(L90:O90)=0,"",M90/SUM(L90:O90))</f>
        <v/>
      </c>
      <c r="V90" s="7">
        <f>IF(SUM(L90:O90)=0,"",N90/SUM(L90:O90))</f>
        <v/>
      </c>
      <c r="W90" s="7">
        <f>IF(SUM(L90:O90)=0,"",O90/SUM(L90:O90))</f>
        <v/>
      </c>
    </row>
    <row r="91">
      <c r="A91" t="n">
        <v>98</v>
      </c>
      <c r="B91" t="inlineStr">
        <is>
          <t>The Advocates for Action were a model group to come in and provide community voices to boards and different organizations.</t>
        </is>
      </c>
      <c r="C91" t="n">
        <v>1</v>
      </c>
      <c r="D91" t="n">
        <v>1</v>
      </c>
      <c r="E91" t="n">
        <v>0</v>
      </c>
      <c r="F91" t="n">
        <v>0</v>
      </c>
      <c r="G91" t="b">
        <v>1</v>
      </c>
      <c r="H91" t="n">
        <v>0</v>
      </c>
      <c r="I91" t="n">
        <v>0</v>
      </c>
      <c r="J91" t="n">
        <v>1</v>
      </c>
      <c r="K91" t="n">
        <v>2</v>
      </c>
      <c r="L91" t="n">
        <v>0</v>
      </c>
      <c r="M91" t="n">
        <v>0</v>
      </c>
      <c r="N91" t="n">
        <v>1</v>
      </c>
      <c r="O91" t="n">
        <v>2</v>
      </c>
      <c r="P91" s="7">
        <f>IF(SUM(H91:K91)=0,"",H91/SUM(H91:K91))</f>
        <v/>
      </c>
      <c r="Q91" s="7">
        <f>IF(SUM(H91:K91)=0,"",I91/SUM(H91:K91))</f>
        <v/>
      </c>
      <c r="R91" s="7">
        <f>IF(SUM(H91:K91)=0,"",J91/SUM(H91:K91))</f>
        <v/>
      </c>
      <c r="S91" s="7">
        <f>IF(SUM(H91:K91)=0,"",K91/SUM(H91:K91))</f>
        <v/>
      </c>
      <c r="T91" s="7">
        <f>IF(SUM(L91:O91)=0,"",L91/SUM(L91:O91))</f>
        <v/>
      </c>
      <c r="U91" s="7">
        <f>IF(SUM(L91:O91)=0,"",M91/SUM(L91:O91))</f>
        <v/>
      </c>
      <c r="V91" s="7">
        <f>IF(SUM(L91:O91)=0,"",N91/SUM(L91:O91))</f>
        <v/>
      </c>
      <c r="W91" s="7">
        <f>IF(SUM(L91:O91)=0,"",O91/SUM(L91:O91))</f>
        <v/>
      </c>
    </row>
    <row r="92">
      <c r="A92" t="n">
        <v>99</v>
      </c>
      <c r="B92" t="inlineStr">
        <is>
          <t>They are trusted people in the community, so they were able to get into spaces and places where others couldn't.</t>
        </is>
      </c>
      <c r="C92" t="n">
        <v>1</v>
      </c>
      <c r="D92" t="n">
        <v>1</v>
      </c>
      <c r="E92" t="n">
        <v>0</v>
      </c>
      <c r="F92" t="n">
        <v>0</v>
      </c>
      <c r="G92" t="b">
        <v>1</v>
      </c>
      <c r="H92" t="n">
        <v>0</v>
      </c>
      <c r="I92" t="n">
        <v>0</v>
      </c>
      <c r="J92" t="n">
        <v>0</v>
      </c>
      <c r="K92" t="n">
        <v>2</v>
      </c>
      <c r="L92" t="n">
        <v>0</v>
      </c>
      <c r="M92" t="n">
        <v>0</v>
      </c>
      <c r="N92" t="n">
        <v>1</v>
      </c>
      <c r="O92" t="n">
        <v>2</v>
      </c>
      <c r="P92" s="7">
        <f>IF(SUM(H92:K92)=0,"",H92/SUM(H92:K92))</f>
        <v/>
      </c>
      <c r="Q92" s="7">
        <f>IF(SUM(H92:K92)=0,"",I92/SUM(H92:K92))</f>
        <v/>
      </c>
      <c r="R92" s="7">
        <f>IF(SUM(H92:K92)=0,"",J92/SUM(H92:K92))</f>
        <v/>
      </c>
      <c r="S92" s="7">
        <f>IF(SUM(H92:K92)=0,"",K92/SUM(H92:K92))</f>
        <v/>
      </c>
      <c r="T92" s="7">
        <f>IF(SUM(L92:O92)=0,"",L92/SUM(L92:O92))</f>
        <v/>
      </c>
      <c r="U92" s="7">
        <f>IF(SUM(L92:O92)=0,"",M92/SUM(L92:O92))</f>
        <v/>
      </c>
      <c r="V92" s="7">
        <f>IF(SUM(L92:O92)=0,"",N92/SUM(L92:O92))</f>
        <v/>
      </c>
      <c r="W92" s="7">
        <f>IF(SUM(L92:O92)=0,"",O92/SUM(L92:O92))</f>
        <v/>
      </c>
    </row>
    <row r="93">
      <c r="A93" t="n">
        <v>100</v>
      </c>
      <c r="B93" t="inlineStr">
        <is>
          <t>[community_foundation_tag] came to us with the opportunity for this team to lead a community-building grants initiative. There were a few places doing them already, and we eventually landed on a model where the community creates the guidelines for the grants.</t>
        </is>
      </c>
      <c r="C93" t="n">
        <v>2</v>
      </c>
      <c r="D93" t="n">
        <v>2</v>
      </c>
      <c r="E93" t="n">
        <v>0</v>
      </c>
      <c r="F93" t="n">
        <v>0</v>
      </c>
      <c r="G93" t="b">
        <v>1</v>
      </c>
      <c r="H93" t="n">
        <v>0</v>
      </c>
      <c r="I93" t="n">
        <v>0</v>
      </c>
      <c r="J93" t="n">
        <v>2</v>
      </c>
      <c r="K93" t="n">
        <v>4</v>
      </c>
      <c r="L93" t="n">
        <v>0</v>
      </c>
      <c r="M93" t="n">
        <v>0</v>
      </c>
      <c r="N93" t="n">
        <v>2</v>
      </c>
      <c r="O93" t="n">
        <v>4</v>
      </c>
      <c r="P93" s="7">
        <f>IF(SUM(H93:K93)=0,"",H93/SUM(H93:K93))</f>
        <v/>
      </c>
      <c r="Q93" s="7">
        <f>IF(SUM(H93:K93)=0,"",I93/SUM(H93:K93))</f>
        <v/>
      </c>
      <c r="R93" s="7">
        <f>IF(SUM(H93:K93)=0,"",J93/SUM(H93:K93))</f>
        <v/>
      </c>
      <c r="S93" s="7">
        <f>IF(SUM(H93:K93)=0,"",K93/SUM(H93:K93))</f>
        <v/>
      </c>
      <c r="T93" s="7">
        <f>IF(SUM(L93:O93)=0,"",L93/SUM(L93:O93))</f>
        <v/>
      </c>
      <c r="U93" s="7">
        <f>IF(SUM(L93:O93)=0,"",M93/SUM(L93:O93))</f>
        <v/>
      </c>
      <c r="V93" s="7">
        <f>IF(SUM(L93:O93)=0,"",N93/SUM(L93:O93))</f>
        <v/>
      </c>
      <c r="W93" s="7">
        <f>IF(SUM(L93:O93)=0,"",O93/SUM(L93:O93))</f>
        <v/>
      </c>
    </row>
    <row r="94">
      <c r="A94" t="n">
        <v>101</v>
      </c>
      <c r="B94" t="inlineStr">
        <is>
          <t>The process is theirs-Advocates for Action. They own it.</t>
        </is>
      </c>
      <c r="C94" t="n">
        <v>1</v>
      </c>
      <c r="D94" t="n">
        <v>1</v>
      </c>
      <c r="E94" t="n">
        <v>0</v>
      </c>
      <c r="F94" t="n">
        <v>0</v>
      </c>
      <c r="G94" t="b">
        <v>1</v>
      </c>
      <c r="H94" t="n">
        <v>0</v>
      </c>
      <c r="I94" t="n">
        <v>0</v>
      </c>
      <c r="J94" t="n">
        <v>0</v>
      </c>
      <c r="K94" t="n">
        <v>2</v>
      </c>
      <c r="L94" t="n">
        <v>0</v>
      </c>
      <c r="M94" t="n">
        <v>0</v>
      </c>
      <c r="N94" t="n">
        <v>1</v>
      </c>
      <c r="O94" t="n">
        <v>2</v>
      </c>
      <c r="P94" s="7">
        <f>IF(SUM(H94:K94)=0,"",H94/SUM(H94:K94))</f>
        <v/>
      </c>
      <c r="Q94" s="7">
        <f>IF(SUM(H94:K94)=0,"",I94/SUM(H94:K94))</f>
        <v/>
      </c>
      <c r="R94" s="7">
        <f>IF(SUM(H94:K94)=0,"",J94/SUM(H94:K94))</f>
        <v/>
      </c>
      <c r="S94" s="7">
        <f>IF(SUM(H94:K94)=0,"",K94/SUM(H94:K94))</f>
        <v/>
      </c>
      <c r="T94" s="7">
        <f>IF(SUM(L94:O94)=0,"",L94/SUM(L94:O94))</f>
        <v/>
      </c>
      <c r="U94" s="7">
        <f>IF(SUM(L94:O94)=0,"",M94/SUM(L94:O94))</f>
        <v/>
      </c>
      <c r="V94" s="7">
        <f>IF(SUM(L94:O94)=0,"",N94/SUM(L94:O94))</f>
        <v/>
      </c>
      <c r="W94" s="7">
        <f>IF(SUM(L94:O94)=0,"",O94/SUM(L94:O94))</f>
        <v/>
      </c>
    </row>
    <row r="95">
      <c r="A95" t="n">
        <v>102</v>
      </c>
      <c r="B95" t="inlineStr">
        <is>
          <t>[community_foundation_tag] and I are just here to support.</t>
        </is>
      </c>
      <c r="C95" t="n">
        <v>1</v>
      </c>
      <c r="D95" t="n">
        <v>1</v>
      </c>
      <c r="E95" t="n">
        <v>0</v>
      </c>
      <c r="F95" t="n">
        <v>0</v>
      </c>
      <c r="G95" t="b">
        <v>1</v>
      </c>
      <c r="H95" t="n">
        <v>0</v>
      </c>
      <c r="I95" t="n">
        <v>0</v>
      </c>
      <c r="J95" t="n">
        <v>0</v>
      </c>
      <c r="K95" t="n">
        <v>2</v>
      </c>
      <c r="L95" t="n">
        <v>0</v>
      </c>
      <c r="M95" t="n">
        <v>0</v>
      </c>
      <c r="N95" t="n">
        <v>1</v>
      </c>
      <c r="O95" t="n">
        <v>2</v>
      </c>
      <c r="P95" s="7">
        <f>IF(SUM(H95:K95)=0,"",H95/SUM(H95:K95))</f>
        <v/>
      </c>
      <c r="Q95" s="7">
        <f>IF(SUM(H95:K95)=0,"",I95/SUM(H95:K95))</f>
        <v/>
      </c>
      <c r="R95" s="7">
        <f>IF(SUM(H95:K95)=0,"",J95/SUM(H95:K95))</f>
        <v/>
      </c>
      <c r="S95" s="7">
        <f>IF(SUM(H95:K95)=0,"",K95/SUM(H95:K95))</f>
        <v/>
      </c>
      <c r="T95" s="7">
        <f>IF(SUM(L95:O95)=0,"",L95/SUM(L95:O95))</f>
        <v/>
      </c>
      <c r="U95" s="7">
        <f>IF(SUM(L95:O95)=0,"",M95/SUM(L95:O95))</f>
        <v/>
      </c>
      <c r="V95" s="7">
        <f>IF(SUM(L95:O95)=0,"",N95/SUM(L95:O95))</f>
        <v/>
      </c>
      <c r="W95" s="7">
        <f>IF(SUM(L95:O95)=0,"",O95/SUM(L95:O95))</f>
        <v/>
      </c>
    </row>
    <row r="96">
      <c r="A96" t="n">
        <v>103</v>
      </c>
      <c r="B96" t="inlineStr">
        <is>
          <t>They've funded several projects including a celebration of textured hair for young girls; the vision of a young guy who wanted to see more minorities in the game of golf; and a grief support group for moms who have lost their children.</t>
        </is>
      </c>
      <c r="C96" t="n">
        <v>1</v>
      </c>
      <c r="D96" t="n">
        <v>1</v>
      </c>
      <c r="E96" t="n">
        <v>0</v>
      </c>
      <c r="F96" t="n">
        <v>0</v>
      </c>
      <c r="G96" t="b">
        <v>1</v>
      </c>
      <c r="H96" t="n">
        <v>0</v>
      </c>
      <c r="I96" t="n">
        <v>0</v>
      </c>
      <c r="J96" t="n">
        <v>0</v>
      </c>
      <c r="K96" t="n">
        <v>2</v>
      </c>
      <c r="L96" t="n">
        <v>1</v>
      </c>
      <c r="M96" t="n">
        <v>0</v>
      </c>
      <c r="N96" t="n">
        <v>0</v>
      </c>
      <c r="O96" t="n">
        <v>2</v>
      </c>
      <c r="P96" s="7">
        <f>IF(SUM(H96:K96)=0,"",H96/SUM(H96:K96))</f>
        <v/>
      </c>
      <c r="Q96" s="7">
        <f>IF(SUM(H96:K96)=0,"",I96/SUM(H96:K96))</f>
        <v/>
      </c>
      <c r="R96" s="7">
        <f>IF(SUM(H96:K96)=0,"",J96/SUM(H96:K96))</f>
        <v/>
      </c>
      <c r="S96" s="7">
        <f>IF(SUM(H96:K96)=0,"",K96/SUM(H96:K96))</f>
        <v/>
      </c>
      <c r="T96" s="7">
        <f>IF(SUM(L96:O96)=0,"",L96/SUM(L96:O96))</f>
        <v/>
      </c>
      <c r="U96" s="7">
        <f>IF(SUM(L96:O96)=0,"",M96/SUM(L96:O96))</f>
        <v/>
      </c>
      <c r="V96" s="7">
        <f>IF(SUM(L96:O96)=0,"",N96/SUM(L96:O96))</f>
        <v/>
      </c>
      <c r="W96" s="7">
        <f>IF(SUM(L96:O96)=0,"",O96/SUM(L96:O96))</f>
        <v/>
      </c>
    </row>
    <row r="97">
      <c r="A97" t="n">
        <v>104</v>
      </c>
      <c r="B97" t="inlineStr">
        <is>
          <t>We are now in our fifth round and have awarded thousands of dollars to individuals who want to make their communities better.'</t>
        </is>
      </c>
      <c r="C97" t="n">
        <v>1</v>
      </c>
      <c r="D97" t="n">
        <v>2</v>
      </c>
      <c r="E97" t="n">
        <v>0</v>
      </c>
      <c r="F97" t="n">
        <v>0</v>
      </c>
      <c r="G97" t="b">
        <v>1</v>
      </c>
      <c r="H97" t="n">
        <v>2</v>
      </c>
      <c r="I97" t="n">
        <v>0</v>
      </c>
      <c r="J97" t="n">
        <v>0</v>
      </c>
      <c r="K97" t="n">
        <v>0</v>
      </c>
      <c r="L97" t="n">
        <v>2</v>
      </c>
      <c r="M97" t="n">
        <v>0</v>
      </c>
      <c r="N97" t="n">
        <v>0</v>
      </c>
      <c r="O97" t="n">
        <v>4</v>
      </c>
      <c r="P97" s="7">
        <f>IF(SUM(H97:K97)=0,"",H97/SUM(H97:K97))</f>
        <v/>
      </c>
      <c r="Q97" s="7">
        <f>IF(SUM(H97:K97)=0,"",I97/SUM(H97:K97))</f>
        <v/>
      </c>
      <c r="R97" s="7">
        <f>IF(SUM(H97:K97)=0,"",J97/SUM(H97:K97))</f>
        <v/>
      </c>
      <c r="S97" s="7">
        <f>IF(SUM(H97:K97)=0,"",K97/SUM(H97:K97))</f>
        <v/>
      </c>
      <c r="T97" s="7">
        <f>IF(SUM(L97:O97)=0,"",L97/SUM(L97:O97))</f>
        <v/>
      </c>
      <c r="U97" s="7">
        <f>IF(SUM(L97:O97)=0,"",M97/SUM(L97:O97))</f>
        <v/>
      </c>
      <c r="V97" s="7">
        <f>IF(SUM(L97:O97)=0,"",N97/SUM(L97:O97))</f>
        <v/>
      </c>
      <c r="W97" s="7">
        <f>IF(SUM(L97:O97)=0,"",O97/SUM(L97:O97))</f>
        <v/>
      </c>
    </row>
    <row r="98">
      <c r="A98" t="n">
        <v>105</v>
      </c>
      <c r="B98" t="inlineStr">
        <is>
          <t>Making grants more accessible to the community</t>
        </is>
      </c>
      <c r="C98" t="n">
        <v>1</v>
      </c>
      <c r="D98" t="n">
        <v>0</v>
      </c>
      <c r="E98" t="n">
        <v>0</v>
      </c>
      <c r="F98" t="n">
        <v>0</v>
      </c>
      <c r="G98" t="b">
        <v>0</v>
      </c>
      <c r="H98" t="n">
        <v>0</v>
      </c>
      <c r="I98" t="n">
        <v>0</v>
      </c>
      <c r="J98" t="n">
        <v>0</v>
      </c>
      <c r="K98" t="n">
        <v>2</v>
      </c>
      <c r="L98" t="n">
        <v>0</v>
      </c>
      <c r="M98" t="n">
        <v>0</v>
      </c>
      <c r="N98" t="n">
        <v>0</v>
      </c>
      <c r="O98" t="n">
        <v>0</v>
      </c>
      <c r="P98" s="7">
        <f>IF(SUM(H98:K98)=0,"",H98/SUM(H98:K98))</f>
        <v/>
      </c>
      <c r="Q98" s="7">
        <f>IF(SUM(H98:K98)=0,"",I98/SUM(H98:K98))</f>
        <v/>
      </c>
      <c r="R98" s="7">
        <f>IF(SUM(H98:K98)=0,"",J98/SUM(H98:K98))</f>
        <v/>
      </c>
      <c r="S98" s="7">
        <f>IF(SUM(H98:K98)=0,"",K98/SUM(H98:K98))</f>
        <v/>
      </c>
      <c r="T98" s="7">
        <f>IF(SUM(L98:O98)=0,"",L98/SUM(L98:O98))</f>
        <v/>
      </c>
      <c r="U98" s="7">
        <f>IF(SUM(L98:O98)=0,"",M98/SUM(L98:O98))</f>
        <v/>
      </c>
      <c r="V98" s="7">
        <f>IF(SUM(L98:O98)=0,"",N98/SUM(L98:O98))</f>
        <v/>
      </c>
      <c r="W98" s="7">
        <f>IF(SUM(L98:O98)=0,"",O98/SUM(L98:O98))</f>
        <v/>
      </c>
    </row>
    <row r="99">
      <c r="A99" t="n">
        <v>106</v>
      </c>
      <c r="B99" t="inlineStr">
        <is>
          <t>Community Building Grants, led by EC2C's Advocates for Action and supported by [community_foundation_tag], give individuals the power and resources to make meaningful change in their community.</t>
        </is>
      </c>
      <c r="C99" t="n">
        <v>1</v>
      </c>
      <c r="D99" t="n">
        <v>2</v>
      </c>
      <c r="E99" t="n">
        <v>0</v>
      </c>
      <c r="F99" t="n">
        <v>0</v>
      </c>
      <c r="G99" t="b">
        <v>1</v>
      </c>
      <c r="H99" t="n">
        <v>0</v>
      </c>
      <c r="I99" t="n">
        <v>0</v>
      </c>
      <c r="J99" t="n">
        <v>1</v>
      </c>
      <c r="K99" t="n">
        <v>2</v>
      </c>
      <c r="L99" t="n">
        <v>1</v>
      </c>
      <c r="M99" t="n">
        <v>0</v>
      </c>
      <c r="N99" t="n">
        <v>1</v>
      </c>
      <c r="O99" t="n">
        <v>4</v>
      </c>
      <c r="P99" s="7">
        <f>IF(SUM(H99:K99)=0,"",H99/SUM(H99:K99))</f>
        <v/>
      </c>
      <c r="Q99" s="7">
        <f>IF(SUM(H99:K99)=0,"",I99/SUM(H99:K99))</f>
        <v/>
      </c>
      <c r="R99" s="7">
        <f>IF(SUM(H99:K99)=0,"",J99/SUM(H99:K99))</f>
        <v/>
      </c>
      <c r="S99" s="7">
        <f>IF(SUM(H99:K99)=0,"",K99/SUM(H99:K99))</f>
        <v/>
      </c>
      <c r="T99" s="7">
        <f>IF(SUM(L99:O99)=0,"",L99/SUM(L99:O99))</f>
        <v/>
      </c>
      <c r="U99" s="7">
        <f>IF(SUM(L99:O99)=0,"",M99/SUM(L99:O99))</f>
        <v/>
      </c>
      <c r="V99" s="7">
        <f>IF(SUM(L99:O99)=0,"",N99/SUM(L99:O99))</f>
        <v/>
      </c>
      <c r="W99" s="7">
        <f>IF(SUM(L99:O99)=0,"",O99/SUM(L99:O99))</f>
        <v/>
      </c>
    </row>
    <row r="100">
      <c r="A100" t="n">
        <v>107</v>
      </c>
      <c r="B100" t="inlineStr">
        <is>
          <t>Evanston Cradle to Career established the Advocates for Action in 2017, recruiting a group of neighborhood residents to be leaders in the efforts to make Evanston a place where all children and their families get the resources and support they need to succeed.</t>
        </is>
      </c>
      <c r="C100" t="n">
        <v>1</v>
      </c>
      <c r="D100" t="n">
        <v>1</v>
      </c>
      <c r="E100" t="n">
        <v>0</v>
      </c>
      <c r="F100" t="n">
        <v>0</v>
      </c>
      <c r="G100" t="b">
        <v>1</v>
      </c>
      <c r="H100" t="n">
        <v>0</v>
      </c>
      <c r="I100" t="n">
        <v>0</v>
      </c>
      <c r="J100" t="n">
        <v>2</v>
      </c>
      <c r="K100" t="n">
        <v>0</v>
      </c>
      <c r="L100" t="n">
        <v>0</v>
      </c>
      <c r="M100" t="n">
        <v>0</v>
      </c>
      <c r="N100" t="n">
        <v>1</v>
      </c>
      <c r="O100" t="n">
        <v>2</v>
      </c>
      <c r="P100" s="7">
        <f>IF(SUM(H100:K100)=0,"",H100/SUM(H100:K100))</f>
        <v/>
      </c>
      <c r="Q100" s="7">
        <f>IF(SUM(H100:K100)=0,"",I100/SUM(H100:K100))</f>
        <v/>
      </c>
      <c r="R100" s="7">
        <f>IF(SUM(H100:K100)=0,"",J100/SUM(H100:K100))</f>
        <v/>
      </c>
      <c r="S100" s="7">
        <f>IF(SUM(H100:K100)=0,"",K100/SUM(H100:K100))</f>
        <v/>
      </c>
      <c r="T100" s="7">
        <f>IF(SUM(L100:O100)=0,"",L100/SUM(L100:O100))</f>
        <v/>
      </c>
      <c r="U100" s="7">
        <f>IF(SUM(L100:O100)=0,"",M100/SUM(L100:O100))</f>
        <v/>
      </c>
      <c r="V100" s="7">
        <f>IF(SUM(L100:O100)=0,"",N100/SUM(L100:O100))</f>
        <v/>
      </c>
      <c r="W100" s="7">
        <f>IF(SUM(L100:O100)=0,"",O100/SUM(L100:O100))</f>
        <v/>
      </c>
    </row>
    <row r="101">
      <c r="A101" t="n">
        <v>108</v>
      </c>
      <c r="B101" t="inlineStr">
        <is>
          <t>With the help of [individual_tag], Cradle's Director of Community Engagement, the Advocates threw themselves into talking with neighbors to hear their ideas for the community. The Advocates wanted to support these ideas.</t>
        </is>
      </c>
      <c r="C101" t="n">
        <v>1</v>
      </c>
      <c r="D101" t="n">
        <v>1</v>
      </c>
      <c r="E101" t="n">
        <v>0</v>
      </c>
      <c r="F101" t="n">
        <v>0</v>
      </c>
      <c r="G101" t="b">
        <v>1</v>
      </c>
      <c r="H101" t="n">
        <v>0</v>
      </c>
      <c r="I101" t="n">
        <v>0</v>
      </c>
      <c r="J101" t="n">
        <v>0</v>
      </c>
      <c r="K101" t="n">
        <v>2</v>
      </c>
      <c r="L101" t="n">
        <v>0</v>
      </c>
      <c r="M101" t="n">
        <v>0</v>
      </c>
      <c r="N101" t="n">
        <v>1</v>
      </c>
      <c r="O101" t="n">
        <v>2</v>
      </c>
      <c r="P101" s="7">
        <f>IF(SUM(H101:K101)=0,"",H101/SUM(H101:K101))</f>
        <v/>
      </c>
      <c r="Q101" s="7">
        <f>IF(SUM(H101:K101)=0,"",I101/SUM(H101:K101))</f>
        <v/>
      </c>
      <c r="R101" s="7">
        <f>IF(SUM(H101:K101)=0,"",J101/SUM(H101:K101))</f>
        <v/>
      </c>
      <c r="S101" s="7">
        <f>IF(SUM(H101:K101)=0,"",K101/SUM(H101:K101))</f>
        <v/>
      </c>
      <c r="T101" s="7">
        <f>IF(SUM(L101:O101)=0,"",L101/SUM(L101:O101))</f>
        <v/>
      </c>
      <c r="U101" s="7">
        <f>IF(SUM(L101:O101)=0,"",M101/SUM(L101:O101))</f>
        <v/>
      </c>
      <c r="V101" s="7">
        <f>IF(SUM(L101:O101)=0,"",N101/SUM(L101:O101))</f>
        <v/>
      </c>
      <c r="W101" s="7">
        <f>IF(SUM(L101:O101)=0,"",O101/SUM(L101:O101))</f>
        <v/>
      </c>
    </row>
    <row r="102">
      <c r="A102" t="n">
        <v>109</v>
      </c>
      <c r="B102" t="inlineStr">
        <is>
          <t>[community_foundation_tag] worked with the Advocates and [individual_tag] to create a grassroots grants program aimed at supporting individuals rather than organizations.</t>
        </is>
      </c>
      <c r="C102" t="n">
        <v>1</v>
      </c>
      <c r="D102" t="n">
        <v>1</v>
      </c>
      <c r="E102" t="n">
        <v>0</v>
      </c>
      <c r="F102" t="n">
        <v>0</v>
      </c>
      <c r="G102" t="b">
        <v>1</v>
      </c>
      <c r="H102" t="n">
        <v>0</v>
      </c>
      <c r="I102" t="n">
        <v>0</v>
      </c>
      <c r="J102" t="n">
        <v>1</v>
      </c>
      <c r="K102" t="n">
        <v>2</v>
      </c>
      <c r="L102" t="n">
        <v>0</v>
      </c>
      <c r="M102" t="n">
        <v>0</v>
      </c>
      <c r="N102" t="n">
        <v>1</v>
      </c>
      <c r="O102" t="n">
        <v>2</v>
      </c>
      <c r="P102" s="7">
        <f>IF(SUM(H102:K102)=0,"",H102/SUM(H102:K102))</f>
        <v/>
      </c>
      <c r="Q102" s="7">
        <f>IF(SUM(H102:K102)=0,"",I102/SUM(H102:K102))</f>
        <v/>
      </c>
      <c r="R102" s="7">
        <f>IF(SUM(H102:K102)=0,"",J102/SUM(H102:K102))</f>
        <v/>
      </c>
      <c r="S102" s="7">
        <f>IF(SUM(H102:K102)=0,"",K102/SUM(H102:K102))</f>
        <v/>
      </c>
      <c r="T102" s="7">
        <f>IF(SUM(L102:O102)=0,"",L102/SUM(L102:O102))</f>
        <v/>
      </c>
      <c r="U102" s="7">
        <f>IF(SUM(L102:O102)=0,"",M102/SUM(L102:O102))</f>
        <v/>
      </c>
      <c r="V102" s="7">
        <f>IF(SUM(L102:O102)=0,"",N102/SUM(L102:O102))</f>
        <v/>
      </c>
      <c r="W102" s="7">
        <f>IF(SUM(L102:O102)=0,"",O102/SUM(L102:O102))</f>
        <v/>
      </c>
    </row>
    <row r="103">
      <c r="A103" t="n">
        <v>110</v>
      </c>
      <c r="B103" t="inlineStr">
        <is>
          <t>Individuals could apply for grants for amounts less than $1,500 to support projects that bring people together to share skills and knowledge that make the community better.</t>
        </is>
      </c>
      <c r="C103" t="n">
        <v>1</v>
      </c>
      <c r="D103" t="n">
        <v>2</v>
      </c>
      <c r="E103" t="n">
        <v>0</v>
      </c>
      <c r="F103" t="n">
        <v>0</v>
      </c>
      <c r="G103" t="b">
        <v>1</v>
      </c>
      <c r="H103" t="n">
        <v>2</v>
      </c>
      <c r="I103" t="n">
        <v>0</v>
      </c>
      <c r="J103" t="n">
        <v>0</v>
      </c>
      <c r="K103" t="n">
        <v>0</v>
      </c>
      <c r="L103" t="n">
        <v>2</v>
      </c>
      <c r="M103" t="n">
        <v>0</v>
      </c>
      <c r="N103" t="n">
        <v>0</v>
      </c>
      <c r="O103" t="n">
        <v>4</v>
      </c>
      <c r="P103" s="7">
        <f>IF(SUM(H103:K103)=0,"",H103/SUM(H103:K103))</f>
        <v/>
      </c>
      <c r="Q103" s="7">
        <f>IF(SUM(H103:K103)=0,"",I103/SUM(H103:K103))</f>
        <v/>
      </c>
      <c r="R103" s="7">
        <f>IF(SUM(H103:K103)=0,"",J103/SUM(H103:K103))</f>
        <v/>
      </c>
      <c r="S103" s="7">
        <f>IF(SUM(H103:K103)=0,"",K103/SUM(H103:K103))</f>
        <v/>
      </c>
      <c r="T103" s="7">
        <f>IF(SUM(L103:O103)=0,"",L103/SUM(L103:O103))</f>
        <v/>
      </c>
      <c r="U103" s="7">
        <f>IF(SUM(L103:O103)=0,"",M103/SUM(L103:O103))</f>
        <v/>
      </c>
      <c r="V103" s="7">
        <f>IF(SUM(L103:O103)=0,"",N103/SUM(L103:O103))</f>
        <v/>
      </c>
      <c r="W103" s="7">
        <f>IF(SUM(L103:O103)=0,"",O103/SUM(L103:O103))</f>
        <v/>
      </c>
    </row>
    <row r="104">
      <c r="A104" t="n">
        <v>111</v>
      </c>
      <c r="B104" t="inlineStr">
        <is>
          <t>Since the first round of Community Building Grants in 2018, thirtyeight grants have been awarded.</t>
        </is>
      </c>
      <c r="C104" t="n">
        <v>0</v>
      </c>
      <c r="D104" t="n">
        <v>2</v>
      </c>
      <c r="E104" t="n">
        <v>0</v>
      </c>
      <c r="F104" t="n">
        <v>0</v>
      </c>
      <c r="G104" t="b">
        <v>0</v>
      </c>
      <c r="H104" t="n">
        <v>0</v>
      </c>
      <c r="I104" t="n">
        <v>0</v>
      </c>
      <c r="J104" t="n">
        <v>0</v>
      </c>
      <c r="K104" t="n">
        <v>0</v>
      </c>
      <c r="L104" t="n">
        <v>4</v>
      </c>
      <c r="M104" t="n">
        <v>0</v>
      </c>
      <c r="N104" t="n">
        <v>0</v>
      </c>
      <c r="O104" t="n">
        <v>2</v>
      </c>
      <c r="P104" s="7">
        <f>IF(SUM(H104:K104)=0,"",H104/SUM(H104:K104))</f>
        <v/>
      </c>
      <c r="Q104" s="7">
        <f>IF(SUM(H104:K104)=0,"",I104/SUM(H104:K104))</f>
        <v/>
      </c>
      <c r="R104" s="7">
        <f>IF(SUM(H104:K104)=0,"",J104/SUM(H104:K104))</f>
        <v/>
      </c>
      <c r="S104" s="7">
        <f>IF(SUM(H104:K104)=0,"",K104/SUM(H104:K104))</f>
        <v/>
      </c>
      <c r="T104" s="7">
        <f>IF(SUM(L104:O104)=0,"",L104/SUM(L104:O104))</f>
        <v/>
      </c>
      <c r="U104" s="7">
        <f>IF(SUM(L104:O104)=0,"",M104/SUM(L104:O104))</f>
        <v/>
      </c>
      <c r="V104" s="7">
        <f>IF(SUM(L104:O104)=0,"",N104/SUM(L104:O104))</f>
        <v/>
      </c>
      <c r="W104" s="7">
        <f>IF(SUM(L104:O104)=0,"",O104/SUM(L104:O104))</f>
        <v/>
      </c>
    </row>
    <row r="105">
      <c r="A105" t="n">
        <v>112</v>
      </c>
      <c r="B105" t="inlineStr">
        <is>
          <t>Grants have supported a wide range of projects, including: a neighborhood share for tools and toys; a support group for mothers who have lost a child; and a program that utilizes storytelling to help people gain financial skills.</t>
        </is>
      </c>
      <c r="C105" t="n">
        <v>1</v>
      </c>
      <c r="D105" t="n">
        <v>1</v>
      </c>
      <c r="E105" t="n">
        <v>0</v>
      </c>
      <c r="F105" t="n">
        <v>0</v>
      </c>
      <c r="G105" t="b">
        <v>1</v>
      </c>
      <c r="H105" t="n">
        <v>0</v>
      </c>
      <c r="I105" t="n">
        <v>0</v>
      </c>
      <c r="J105" t="n">
        <v>0</v>
      </c>
      <c r="K105" t="n">
        <v>2</v>
      </c>
      <c r="L105" t="n">
        <v>1</v>
      </c>
      <c r="M105" t="n">
        <v>0</v>
      </c>
      <c r="N105" t="n">
        <v>0</v>
      </c>
      <c r="O105" t="n">
        <v>2</v>
      </c>
      <c r="P105" s="7">
        <f>IF(SUM(H105:K105)=0,"",H105/SUM(H105:K105))</f>
        <v/>
      </c>
      <c r="Q105" s="7">
        <f>IF(SUM(H105:K105)=0,"",I105/SUM(H105:K105))</f>
        <v/>
      </c>
      <c r="R105" s="7">
        <f>IF(SUM(H105:K105)=0,"",J105/SUM(H105:K105))</f>
        <v/>
      </c>
      <c r="S105" s="7">
        <f>IF(SUM(H105:K105)=0,"",K105/SUM(H105:K105))</f>
        <v/>
      </c>
      <c r="T105" s="7">
        <f>IF(SUM(L105:O105)=0,"",L105/SUM(L105:O105))</f>
        <v/>
      </c>
      <c r="U105" s="7">
        <f>IF(SUM(L105:O105)=0,"",M105/SUM(L105:O105))</f>
        <v/>
      </c>
      <c r="V105" s="7">
        <f>IF(SUM(L105:O105)=0,"",N105/SUM(L105:O105))</f>
        <v/>
      </c>
      <c r="W105" s="7">
        <f>IF(SUM(L105:O105)=0,"",O105/SUM(L105:O105))</f>
        <v/>
      </c>
    </row>
    <row r="106">
      <c r="A106" t="n">
        <v>113</v>
      </c>
      <c r="B106" t="inlineStr">
        <is>
          <t>The Advocates review all the applications and interview the applicants.</t>
        </is>
      </c>
      <c r="C106" t="n">
        <v>1</v>
      </c>
      <c r="D106" t="n">
        <v>1</v>
      </c>
      <c r="E106" t="n">
        <v>0</v>
      </c>
      <c r="F106" t="n">
        <v>0</v>
      </c>
      <c r="G106" t="b">
        <v>1</v>
      </c>
      <c r="H106" t="n">
        <v>0</v>
      </c>
      <c r="I106" t="n">
        <v>0</v>
      </c>
      <c r="J106" t="n">
        <v>0</v>
      </c>
      <c r="K106" t="n">
        <v>2</v>
      </c>
      <c r="L106" t="n">
        <v>0</v>
      </c>
      <c r="M106" t="n">
        <v>0</v>
      </c>
      <c r="N106" t="n">
        <v>1</v>
      </c>
      <c r="O106" t="n">
        <v>2</v>
      </c>
      <c r="P106" s="7">
        <f>IF(SUM(H106:K106)=0,"",H106/SUM(H106:K106))</f>
        <v/>
      </c>
      <c r="Q106" s="7">
        <f>IF(SUM(H106:K106)=0,"",I106/SUM(H106:K106))</f>
        <v/>
      </c>
      <c r="R106" s="7">
        <f>IF(SUM(H106:K106)=0,"",J106/SUM(H106:K106))</f>
        <v/>
      </c>
      <c r="S106" s="7">
        <f>IF(SUM(H106:K106)=0,"",K106/SUM(H106:K106))</f>
        <v/>
      </c>
      <c r="T106" s="7">
        <f>IF(SUM(L106:O106)=0,"",L106/SUM(L106:O106))</f>
        <v/>
      </c>
      <c r="U106" s="7">
        <f>IF(SUM(L106:O106)=0,"",M106/SUM(L106:O106))</f>
        <v/>
      </c>
      <c r="V106" s="7">
        <f>IF(SUM(L106:O106)=0,"",N106/SUM(L106:O106))</f>
        <v/>
      </c>
      <c r="W106" s="7">
        <f>IF(SUM(L106:O106)=0,"",O106/SUM(L106:O106))</f>
        <v/>
      </c>
    </row>
    <row r="107">
      <c r="A107" t="n">
        <v>114</v>
      </c>
      <c r="B107" t="inlineStr">
        <is>
          <t>Once projects are selected, each recipient is paired with an Advocate for support.</t>
        </is>
      </c>
      <c r="C107" t="n">
        <v>1</v>
      </c>
      <c r="D107" t="n">
        <v>1</v>
      </c>
      <c r="E107" t="n">
        <v>0</v>
      </c>
      <c r="F107" t="n">
        <v>0</v>
      </c>
      <c r="G107" t="b">
        <v>1</v>
      </c>
      <c r="H107" t="n">
        <v>0</v>
      </c>
      <c r="I107" t="n">
        <v>0</v>
      </c>
      <c r="J107" t="n">
        <v>0</v>
      </c>
      <c r="K107" t="n">
        <v>2</v>
      </c>
      <c r="L107" t="n">
        <v>0</v>
      </c>
      <c r="M107" t="n">
        <v>0</v>
      </c>
      <c r="N107" t="n">
        <v>1</v>
      </c>
      <c r="O107" t="n">
        <v>2</v>
      </c>
      <c r="P107" s="7">
        <f>IF(SUM(H107:K107)=0,"",H107/SUM(H107:K107))</f>
        <v/>
      </c>
      <c r="Q107" s="7">
        <f>IF(SUM(H107:K107)=0,"",I107/SUM(H107:K107))</f>
        <v/>
      </c>
      <c r="R107" s="7">
        <f>IF(SUM(H107:K107)=0,"",J107/SUM(H107:K107))</f>
        <v/>
      </c>
      <c r="S107" s="7">
        <f>IF(SUM(H107:K107)=0,"",K107/SUM(H107:K107))</f>
        <v/>
      </c>
      <c r="T107" s="7">
        <f>IF(SUM(L107:O107)=0,"",L107/SUM(L107:O107))</f>
        <v/>
      </c>
      <c r="U107" s="7">
        <f>IF(SUM(L107:O107)=0,"",M107/SUM(L107:O107))</f>
        <v/>
      </c>
      <c r="V107" s="7">
        <f>IF(SUM(L107:O107)=0,"",N107/SUM(L107:O107))</f>
        <v/>
      </c>
      <c r="W107" s="7">
        <f>IF(SUM(L107:O107)=0,"",O107/SUM(L107:O107))</f>
        <v/>
      </c>
    </row>
    <row r="108">
      <c r="A108" t="n">
        <v>115</v>
      </c>
      <c r="B108" t="inlineStr">
        <is>
          <t>[community_foundation_tag] provides back-office support.</t>
        </is>
      </c>
      <c r="C108" t="n">
        <v>1</v>
      </c>
      <c r="D108" t="n">
        <v>1</v>
      </c>
      <c r="E108" t="n">
        <v>0</v>
      </c>
      <c r="F108" t="n">
        <v>0</v>
      </c>
      <c r="G108" t="b">
        <v>1</v>
      </c>
      <c r="H108" t="n">
        <v>0</v>
      </c>
      <c r="I108" t="n">
        <v>0</v>
      </c>
      <c r="J108" t="n">
        <v>0</v>
      </c>
      <c r="K108" t="n">
        <v>2</v>
      </c>
      <c r="L108" t="n">
        <v>0</v>
      </c>
      <c r="M108" t="n">
        <v>1</v>
      </c>
      <c r="N108" t="n">
        <v>0</v>
      </c>
      <c r="O108" t="n">
        <v>2</v>
      </c>
      <c r="P108" s="7">
        <f>IF(SUM(H108:K108)=0,"",H108/SUM(H108:K108))</f>
        <v/>
      </c>
      <c r="Q108" s="7">
        <f>IF(SUM(H108:K108)=0,"",I108/SUM(H108:K108))</f>
        <v/>
      </c>
      <c r="R108" s="7">
        <f>IF(SUM(H108:K108)=0,"",J108/SUM(H108:K108))</f>
        <v/>
      </c>
      <c r="S108" s="7">
        <f>IF(SUM(H108:K108)=0,"",K108/SUM(H108:K108))</f>
        <v/>
      </c>
      <c r="T108" s="7">
        <f>IF(SUM(L108:O108)=0,"",L108/SUM(L108:O108))</f>
        <v/>
      </c>
      <c r="U108" s="7">
        <f>IF(SUM(L108:O108)=0,"",M108/SUM(L108:O108))</f>
        <v/>
      </c>
      <c r="V108" s="7">
        <f>IF(SUM(L108:O108)=0,"",N108/SUM(L108:O108))</f>
        <v/>
      </c>
      <c r="W108" s="7">
        <f>IF(SUM(L108:O108)=0,"",O108/SUM(L108:O108))</f>
        <v/>
      </c>
    </row>
    <row r="109">
      <c r="A109" t="n">
        <v>116</v>
      </c>
      <c r="B109" t="inlineStr">
        <is>
          <t>In 2022, the Community Grants Program came back after a COVID hiatus.</t>
        </is>
      </c>
      <c r="C109" t="n">
        <v>0</v>
      </c>
      <c r="D109" t="n">
        <v>1</v>
      </c>
      <c r="E109" t="n">
        <v>0</v>
      </c>
      <c r="F109" t="n">
        <v>0</v>
      </c>
      <c r="G109" t="b">
        <v>0</v>
      </c>
      <c r="H109" t="n">
        <v>0</v>
      </c>
      <c r="I109" t="n">
        <v>0</v>
      </c>
      <c r="J109" t="n">
        <v>0</v>
      </c>
      <c r="K109" t="n">
        <v>0</v>
      </c>
      <c r="L109" t="n">
        <v>2</v>
      </c>
      <c r="M109" t="n">
        <v>0</v>
      </c>
      <c r="N109" t="n">
        <v>0</v>
      </c>
      <c r="O109" t="n">
        <v>1</v>
      </c>
      <c r="P109" s="7">
        <f>IF(SUM(H109:K109)=0,"",H109/SUM(H109:K109))</f>
        <v/>
      </c>
      <c r="Q109" s="7">
        <f>IF(SUM(H109:K109)=0,"",I109/SUM(H109:K109))</f>
        <v/>
      </c>
      <c r="R109" s="7">
        <f>IF(SUM(H109:K109)=0,"",J109/SUM(H109:K109))</f>
        <v/>
      </c>
      <c r="S109" s="7">
        <f>IF(SUM(H109:K109)=0,"",K109/SUM(H109:K109))</f>
        <v/>
      </c>
      <c r="T109" s="7">
        <f>IF(SUM(L109:O109)=0,"",L109/SUM(L109:O109))</f>
        <v/>
      </c>
      <c r="U109" s="7">
        <f>IF(SUM(L109:O109)=0,"",M109/SUM(L109:O109))</f>
        <v/>
      </c>
      <c r="V109" s="7">
        <f>IF(SUM(L109:O109)=0,"",N109/SUM(L109:O109))</f>
        <v/>
      </c>
      <c r="W109" s="7">
        <f>IF(SUM(L109:O109)=0,"",O109/SUM(L109:O109))</f>
        <v/>
      </c>
    </row>
    <row r="110">
      <c r="A110" t="n">
        <v>117</v>
      </c>
      <c r="B110" t="inlineStr">
        <is>
          <t>Once again, community members brought innovative ideas to the table.</t>
        </is>
      </c>
      <c r="C110" t="n">
        <v>1</v>
      </c>
      <c r="D110" t="n">
        <v>1</v>
      </c>
      <c r="E110" t="n">
        <v>0</v>
      </c>
      <c r="F110" t="n">
        <v>0</v>
      </c>
      <c r="G110" t="b">
        <v>1</v>
      </c>
      <c r="H110" t="n">
        <v>0</v>
      </c>
      <c r="I110" t="n">
        <v>0</v>
      </c>
      <c r="J110" t="n">
        <v>0</v>
      </c>
      <c r="K110" t="n">
        <v>2</v>
      </c>
      <c r="L110" t="n">
        <v>0</v>
      </c>
      <c r="M110" t="n">
        <v>0</v>
      </c>
      <c r="N110" t="n">
        <v>1</v>
      </c>
      <c r="O110" t="n">
        <v>2</v>
      </c>
      <c r="P110" s="7">
        <f>IF(SUM(H110:K110)=0,"",H110/SUM(H110:K110))</f>
        <v/>
      </c>
      <c r="Q110" s="7">
        <f>IF(SUM(H110:K110)=0,"",I110/SUM(H110:K110))</f>
        <v/>
      </c>
      <c r="R110" s="7">
        <f>IF(SUM(H110:K110)=0,"",J110/SUM(H110:K110))</f>
        <v/>
      </c>
      <c r="S110" s="7">
        <f>IF(SUM(H110:K110)=0,"",K110/SUM(H110:K110))</f>
        <v/>
      </c>
      <c r="T110" s="7">
        <f>IF(SUM(L110:O110)=0,"",L110/SUM(L110:O110))</f>
        <v/>
      </c>
      <c r="U110" s="7">
        <f>IF(SUM(L110:O110)=0,"",M110/SUM(L110:O110))</f>
        <v/>
      </c>
      <c r="V110" s="7">
        <f>IF(SUM(L110:O110)=0,"",N110/SUM(L110:O110))</f>
        <v/>
      </c>
      <c r="W110" s="7">
        <f>IF(SUM(L110:O110)=0,"",O110/SUM(L110:O110))</f>
        <v/>
      </c>
    </row>
    <row r="111">
      <c r="A111" t="n">
        <v>118</v>
      </c>
      <c r="B111" t="inlineStr">
        <is>
          <t>As [individual_tag] says, 'The Community Grants Program works because we trust the community.</t>
        </is>
      </c>
      <c r="C111" t="n">
        <v>1</v>
      </c>
      <c r="D111" t="n">
        <v>1</v>
      </c>
      <c r="E111" t="n">
        <v>0</v>
      </c>
      <c r="F111" t="n">
        <v>0</v>
      </c>
      <c r="G111" t="b">
        <v>1</v>
      </c>
      <c r="H111" t="n">
        <v>0</v>
      </c>
      <c r="I111" t="n">
        <v>0</v>
      </c>
      <c r="J111" t="n">
        <v>0</v>
      </c>
      <c r="K111" t="n">
        <v>2</v>
      </c>
      <c r="L111" t="n">
        <v>0</v>
      </c>
      <c r="M111" t="n">
        <v>0</v>
      </c>
      <c r="N111" t="n">
        <v>1</v>
      </c>
      <c r="O111" t="n">
        <v>2</v>
      </c>
      <c r="P111" s="7">
        <f>IF(SUM(H111:K111)=0,"",H111/SUM(H111:K111))</f>
        <v/>
      </c>
      <c r="Q111" s="7">
        <f>IF(SUM(H111:K111)=0,"",I111/SUM(H111:K111))</f>
        <v/>
      </c>
      <c r="R111" s="7">
        <f>IF(SUM(H111:K111)=0,"",J111/SUM(H111:K111))</f>
        <v/>
      </c>
      <c r="S111" s="7">
        <f>IF(SUM(H111:K111)=0,"",K111/SUM(H111:K111))</f>
        <v/>
      </c>
      <c r="T111" s="7">
        <f>IF(SUM(L111:O111)=0,"",L111/SUM(L111:O111))</f>
        <v/>
      </c>
      <c r="U111" s="7">
        <f>IF(SUM(L111:O111)=0,"",M111/SUM(L111:O111))</f>
        <v/>
      </c>
      <c r="V111" s="7">
        <f>IF(SUM(L111:O111)=0,"",N111/SUM(L111:O111))</f>
        <v/>
      </c>
      <c r="W111" s="7">
        <f>IF(SUM(L111:O111)=0,"",O111/SUM(L111:O111))</f>
        <v/>
      </c>
    </row>
    <row r="112">
      <c r="A112" t="n">
        <v>119</v>
      </c>
      <c r="B112" t="inlineStr">
        <is>
          <t>We build relationships and meet the people where they are at.'</t>
        </is>
      </c>
      <c r="C112" t="n">
        <v>1</v>
      </c>
      <c r="D112" t="n">
        <v>1</v>
      </c>
      <c r="E112" t="n">
        <v>0</v>
      </c>
      <c r="F112" t="n">
        <v>0</v>
      </c>
      <c r="G112" t="b">
        <v>1</v>
      </c>
      <c r="H112" t="n">
        <v>0</v>
      </c>
      <c r="I112" t="n">
        <v>0</v>
      </c>
      <c r="J112" t="n">
        <v>0</v>
      </c>
      <c r="K112" t="n">
        <v>2</v>
      </c>
      <c r="L112" t="n">
        <v>0</v>
      </c>
      <c r="M112" t="n">
        <v>0</v>
      </c>
      <c r="N112" t="n">
        <v>1</v>
      </c>
      <c r="O112" t="n">
        <v>2</v>
      </c>
      <c r="P112" s="7">
        <f>IF(SUM(H112:K112)=0,"",H112/SUM(H112:K112))</f>
        <v/>
      </c>
      <c r="Q112" s="7">
        <f>IF(SUM(H112:K112)=0,"",I112/SUM(H112:K112))</f>
        <v/>
      </c>
      <c r="R112" s="7">
        <f>IF(SUM(H112:K112)=0,"",J112/SUM(H112:K112))</f>
        <v/>
      </c>
      <c r="S112" s="7">
        <f>IF(SUM(H112:K112)=0,"",K112/SUM(H112:K112))</f>
        <v/>
      </c>
      <c r="T112" s="7">
        <f>IF(SUM(L112:O112)=0,"",L112/SUM(L112:O112))</f>
        <v/>
      </c>
      <c r="U112" s="7">
        <f>IF(SUM(L112:O112)=0,"",M112/SUM(L112:O112))</f>
        <v/>
      </c>
      <c r="V112" s="7">
        <f>IF(SUM(L112:O112)=0,"",N112/SUM(L112:O112))</f>
        <v/>
      </c>
      <c r="W112" s="7">
        <f>IF(SUM(L112:O112)=0,"",O112/SUM(L112:O112))</f>
        <v/>
      </c>
    </row>
    <row r="113">
      <c r="A113" t="n">
        <v>120</v>
      </c>
      <c r="B113" t="inlineStr">
        <is>
          <t>'I've always appreciated [community_foundation_tag], but I don't think I had ever seen [community_foundation_tag] take such a powerful leadership role in the city: responding quickly; bringing nonprofit leaders together to strategize and to connect and share needs; and then changing their own grantmaking process around how people apply for funding.</t>
        </is>
      </c>
      <c r="C113" t="n">
        <v>1</v>
      </c>
      <c r="D113" t="n">
        <v>1</v>
      </c>
      <c r="E113" t="n">
        <v>0</v>
      </c>
      <c r="F113" t="n">
        <v>0</v>
      </c>
      <c r="G113" t="b">
        <v>1</v>
      </c>
      <c r="H113" t="n">
        <v>0</v>
      </c>
      <c r="I113" t="n">
        <v>0</v>
      </c>
      <c r="J113" t="n">
        <v>2</v>
      </c>
      <c r="K113" t="n">
        <v>0</v>
      </c>
      <c r="L113" t="n">
        <v>0</v>
      </c>
      <c r="M113" t="n">
        <v>0</v>
      </c>
      <c r="N113" t="n">
        <v>2</v>
      </c>
      <c r="O113" t="n">
        <v>1</v>
      </c>
      <c r="P113" s="7">
        <f>IF(SUM(H113:K113)=0,"",H113/SUM(H113:K113))</f>
        <v/>
      </c>
      <c r="Q113" s="7">
        <f>IF(SUM(H113:K113)=0,"",I113/SUM(H113:K113))</f>
        <v/>
      </c>
      <c r="R113" s="7">
        <f>IF(SUM(H113:K113)=0,"",J113/SUM(H113:K113))</f>
        <v/>
      </c>
      <c r="S113" s="7">
        <f>IF(SUM(H113:K113)=0,"",K113/SUM(H113:K113))</f>
        <v/>
      </c>
      <c r="T113" s="7">
        <f>IF(SUM(L113:O113)=0,"",L113/SUM(L113:O113))</f>
        <v/>
      </c>
      <c r="U113" s="7">
        <f>IF(SUM(L113:O113)=0,"",M113/SUM(L113:O113))</f>
        <v/>
      </c>
      <c r="V113" s="7">
        <f>IF(SUM(L113:O113)=0,"",N113/SUM(L113:O113))</f>
        <v/>
      </c>
      <c r="W113" s="7">
        <f>IF(SUM(L113:O113)=0,"",O113/SUM(L113:O113))</f>
        <v/>
      </c>
    </row>
    <row r="114">
      <c r="A114" t="n">
        <v>121</v>
      </c>
      <c r="B114" t="inlineStr">
        <is>
          <t>It was incredibly responsive and fast.'</t>
        </is>
      </c>
      <c r="C114" t="n">
        <v>1</v>
      </c>
      <c r="D114" t="n">
        <v>0</v>
      </c>
      <c r="E114" t="n">
        <v>0</v>
      </c>
      <c r="F114" t="n">
        <v>0</v>
      </c>
      <c r="G114" t="b">
        <v>0</v>
      </c>
      <c r="H114" t="n">
        <v>2</v>
      </c>
      <c r="I114" t="n">
        <v>0</v>
      </c>
      <c r="J114" t="n">
        <v>0</v>
      </c>
      <c r="K114" t="n">
        <v>0</v>
      </c>
      <c r="L114" t="n">
        <v>0</v>
      </c>
      <c r="M114" t="n">
        <v>0</v>
      </c>
      <c r="N114" t="n">
        <v>0</v>
      </c>
      <c r="O114" t="n">
        <v>0</v>
      </c>
      <c r="P114" s="7">
        <f>IF(SUM(H114:K114)=0,"",H114/SUM(H114:K114))</f>
        <v/>
      </c>
      <c r="Q114" s="7">
        <f>IF(SUM(H114:K114)=0,"",I114/SUM(H114:K114))</f>
        <v/>
      </c>
      <c r="R114" s="7">
        <f>IF(SUM(H114:K114)=0,"",J114/SUM(H114:K114))</f>
        <v/>
      </c>
      <c r="S114" s="7">
        <f>IF(SUM(H114:K114)=0,"",K114/SUM(H114:K114))</f>
        <v/>
      </c>
      <c r="T114" s="7">
        <f>IF(SUM(L114:O114)=0,"",L114/SUM(L114:O114))</f>
        <v/>
      </c>
      <c r="U114" s="7">
        <f>IF(SUM(L114:O114)=0,"",M114/SUM(L114:O114))</f>
        <v/>
      </c>
      <c r="V114" s="7">
        <f>IF(SUM(L114:O114)=0,"",N114/SUM(L114:O114))</f>
        <v/>
      </c>
      <c r="W114" s="7">
        <f>IF(SUM(L114:O114)=0,"",O114/SUM(L114:O114))</f>
        <v/>
      </c>
    </row>
    <row r="115">
      <c r="A115" t="n">
        <v>123</v>
      </c>
      <c r="B115" t="inlineStr">
        <is>
          <t>Executive Director, Books &amp;amp; Breakfast</t>
        </is>
      </c>
      <c r="C115" t="n">
        <v>0</v>
      </c>
      <c r="D115" t="n">
        <v>1</v>
      </c>
      <c r="E115" t="n">
        <v>0</v>
      </c>
      <c r="F115" t="n">
        <v>0</v>
      </c>
      <c r="G115" t="b">
        <v>0</v>
      </c>
      <c r="H115" t="n">
        <v>0</v>
      </c>
      <c r="I115" t="n">
        <v>0</v>
      </c>
      <c r="J115" t="n">
        <v>0</v>
      </c>
      <c r="K115" t="n">
        <v>0</v>
      </c>
      <c r="L115" t="n">
        <v>1</v>
      </c>
      <c r="M115" t="n">
        <v>0</v>
      </c>
      <c r="N115" t="n">
        <v>0</v>
      </c>
      <c r="O115" t="n">
        <v>2</v>
      </c>
      <c r="P115" s="7">
        <f>IF(SUM(H115:K115)=0,"",H115/SUM(H115:K115))</f>
        <v/>
      </c>
      <c r="Q115" s="7">
        <f>IF(SUM(H115:K115)=0,"",I115/SUM(H115:K115))</f>
        <v/>
      </c>
      <c r="R115" s="7">
        <f>IF(SUM(H115:K115)=0,"",J115/SUM(H115:K115))</f>
        <v/>
      </c>
      <c r="S115" s="7">
        <f>IF(SUM(H115:K115)=0,"",K115/SUM(H115:K115))</f>
        <v/>
      </c>
      <c r="T115" s="7">
        <f>IF(SUM(L115:O115)=0,"",L115/SUM(L115:O115))</f>
        <v/>
      </c>
      <c r="U115" s="7">
        <f>IF(SUM(L115:O115)=0,"",M115/SUM(L115:O115))</f>
        <v/>
      </c>
      <c r="V115" s="7">
        <f>IF(SUM(L115:O115)=0,"",N115/SUM(L115:O115))</f>
        <v/>
      </c>
      <c r="W115" s="7">
        <f>IF(SUM(L115:O115)=0,"",O115/SUM(L115:O115))</f>
        <v/>
      </c>
    </row>
    <row r="116">
      <c r="A116" t="n">
        <v>124</v>
      </c>
      <c r="B116" t="inlineStr">
        <is>
          <t>The impact of grantmaking built on mutual trust</t>
        </is>
      </c>
      <c r="C116" t="n">
        <v>1</v>
      </c>
      <c r="D116" t="n">
        <v>0</v>
      </c>
      <c r="E116" t="n">
        <v>0</v>
      </c>
      <c r="F116" t="n">
        <v>0</v>
      </c>
      <c r="G116" t="b">
        <v>0</v>
      </c>
      <c r="H116" t="n">
        <v>0</v>
      </c>
      <c r="I116" t="n">
        <v>0</v>
      </c>
      <c r="J116" t="n">
        <v>0</v>
      </c>
      <c r="K116" t="n">
        <v>2</v>
      </c>
      <c r="L116" t="n">
        <v>0</v>
      </c>
      <c r="M116" t="n">
        <v>0</v>
      </c>
      <c r="N116" t="n">
        <v>0</v>
      </c>
      <c r="O116" t="n">
        <v>0</v>
      </c>
      <c r="P116" s="7">
        <f>IF(SUM(H116:K116)=0,"",H116/SUM(H116:K116))</f>
        <v/>
      </c>
      <c r="Q116" s="7">
        <f>IF(SUM(H116:K116)=0,"",I116/SUM(H116:K116))</f>
        <v/>
      </c>
      <c r="R116" s="7">
        <f>IF(SUM(H116:K116)=0,"",J116/SUM(H116:K116))</f>
        <v/>
      </c>
      <c r="S116" s="7">
        <f>IF(SUM(H116:K116)=0,"",K116/SUM(H116:K116))</f>
        <v/>
      </c>
      <c r="T116" s="7">
        <f>IF(SUM(L116:O116)=0,"",L116/SUM(L116:O116))</f>
        <v/>
      </c>
      <c r="U116" s="7">
        <f>IF(SUM(L116:O116)=0,"",M116/SUM(L116:O116))</f>
        <v/>
      </c>
      <c r="V116" s="7">
        <f>IF(SUM(L116:O116)=0,"",N116/SUM(L116:O116))</f>
        <v/>
      </c>
      <c r="W116" s="7">
        <f>IF(SUM(L116:O116)=0,"",O116/SUM(L116:O116))</f>
        <v/>
      </c>
    </row>
    <row r="117">
      <c r="A117" t="n">
        <v>125</v>
      </c>
      <c r="B117" t="inlineStr">
        <is>
          <t>[community_foundation_tag] is committed to supporting creative, community-centered nonprofits and helping them to grow as strong, sustainable organizations. [community_foundation_tag] grantmaking evolves to support this mission.</t>
        </is>
      </c>
      <c r="C117" t="n">
        <v>1</v>
      </c>
      <c r="D117" t="n">
        <v>2</v>
      </c>
      <c r="E117" t="n">
        <v>0</v>
      </c>
      <c r="F117" t="n">
        <v>0</v>
      </c>
      <c r="G117" t="b">
        <v>1</v>
      </c>
      <c r="H117" t="n">
        <v>0</v>
      </c>
      <c r="I117" t="n">
        <v>0</v>
      </c>
      <c r="J117" t="n">
        <v>0</v>
      </c>
      <c r="K117" t="n">
        <v>2</v>
      </c>
      <c r="L117" t="n">
        <v>0</v>
      </c>
      <c r="M117" t="n">
        <v>0</v>
      </c>
      <c r="N117" t="n">
        <v>4</v>
      </c>
      <c r="O117" t="n">
        <v>2</v>
      </c>
      <c r="P117" s="7">
        <f>IF(SUM(H117:K117)=0,"",H117/SUM(H117:K117))</f>
        <v/>
      </c>
      <c r="Q117" s="7">
        <f>IF(SUM(H117:K117)=0,"",I117/SUM(H117:K117))</f>
        <v/>
      </c>
      <c r="R117" s="7">
        <f>IF(SUM(H117:K117)=0,"",J117/SUM(H117:K117))</f>
        <v/>
      </c>
      <c r="S117" s="7">
        <f>IF(SUM(H117:K117)=0,"",K117/SUM(H117:K117))</f>
        <v/>
      </c>
      <c r="T117" s="7">
        <f>IF(SUM(L117:O117)=0,"",L117/SUM(L117:O117))</f>
        <v/>
      </c>
      <c r="U117" s="7">
        <f>IF(SUM(L117:O117)=0,"",M117/SUM(L117:O117))</f>
        <v/>
      </c>
      <c r="V117" s="7">
        <f>IF(SUM(L117:O117)=0,"",N117/SUM(L117:O117))</f>
        <v/>
      </c>
      <c r="W117" s="7">
        <f>IF(SUM(L117:O117)=0,"",O117/SUM(L117:O117))</f>
        <v/>
      </c>
    </row>
    <row r="118">
      <c r="A118" t="n">
        <v>126</v>
      </c>
      <c r="B118" t="inlineStr">
        <is>
          <t>Books &amp;amp; Breakfast has long been committed to advancing equity in District 65 by ensuring that students were physically, emotionally, and academically prepared each morning to enter their classrooms.</t>
        </is>
      </c>
      <c r="C118" t="n">
        <v>1</v>
      </c>
      <c r="D118" t="n">
        <v>1</v>
      </c>
      <c r="E118" t="n">
        <v>0</v>
      </c>
      <c r="F118" t="n">
        <v>0</v>
      </c>
      <c r="G118" t="b">
        <v>1</v>
      </c>
      <c r="H118" t="n">
        <v>0</v>
      </c>
      <c r="I118" t="n">
        <v>0</v>
      </c>
      <c r="J118" t="n">
        <v>0</v>
      </c>
      <c r="K118" t="n">
        <v>2</v>
      </c>
      <c r="L118" t="n">
        <v>0</v>
      </c>
      <c r="M118" t="n">
        <v>0</v>
      </c>
      <c r="N118" t="n">
        <v>1</v>
      </c>
      <c r="O118" t="n">
        <v>2</v>
      </c>
      <c r="P118" s="7">
        <f>IF(SUM(H118:K118)=0,"",H118/SUM(H118:K118))</f>
        <v/>
      </c>
      <c r="Q118" s="7">
        <f>IF(SUM(H118:K118)=0,"",I118/SUM(H118:K118))</f>
        <v/>
      </c>
      <c r="R118" s="7">
        <f>IF(SUM(H118:K118)=0,"",J118/SUM(H118:K118))</f>
        <v/>
      </c>
      <c r="S118" s="7">
        <f>IF(SUM(H118:K118)=0,"",K118/SUM(H118:K118))</f>
        <v/>
      </c>
      <c r="T118" s="7">
        <f>IF(SUM(L118:O118)=0,"",L118/SUM(L118:O118))</f>
        <v/>
      </c>
      <c r="U118" s="7">
        <f>IF(SUM(L118:O118)=0,"",M118/SUM(L118:O118))</f>
        <v/>
      </c>
      <c r="V118" s="7">
        <f>IF(SUM(L118:O118)=0,"",N118/SUM(L118:O118))</f>
        <v/>
      </c>
      <c r="W118" s="7">
        <f>IF(SUM(L118:O118)=0,"",O118/SUM(L118:O118))</f>
        <v/>
      </c>
    </row>
    <row r="119">
      <c r="A119" t="n">
        <v>127</v>
      </c>
      <c r="B119" t="inlineStr">
        <is>
          <t>They did this by providing a healthy breakfast alongside tutoring and support.</t>
        </is>
      </c>
      <c r="C119" t="n">
        <v>1</v>
      </c>
      <c r="D119" t="n">
        <v>1</v>
      </c>
      <c r="E119" t="n">
        <v>0</v>
      </c>
      <c r="F119" t="n">
        <v>0</v>
      </c>
      <c r="G119" t="b">
        <v>1</v>
      </c>
      <c r="H119" t="n">
        <v>0</v>
      </c>
      <c r="I119" t="n">
        <v>0</v>
      </c>
      <c r="J119" t="n">
        <v>0</v>
      </c>
      <c r="K119" t="n">
        <v>2</v>
      </c>
      <c r="L119" t="n">
        <v>1</v>
      </c>
      <c r="M119" t="n">
        <v>0</v>
      </c>
      <c r="N119" t="n">
        <v>0</v>
      </c>
      <c r="O119" t="n">
        <v>2</v>
      </c>
      <c r="P119" s="7">
        <f>IF(SUM(H119:K119)=0,"",H119/SUM(H119:K119))</f>
        <v/>
      </c>
      <c r="Q119" s="7">
        <f>IF(SUM(H119:K119)=0,"",I119/SUM(H119:K119))</f>
        <v/>
      </c>
      <c r="R119" s="7">
        <f>IF(SUM(H119:K119)=0,"",J119/SUM(H119:K119))</f>
        <v/>
      </c>
      <c r="S119" s="7">
        <f>IF(SUM(H119:K119)=0,"",K119/SUM(H119:K119))</f>
        <v/>
      </c>
      <c r="T119" s="7">
        <f>IF(SUM(L119:O119)=0,"",L119/SUM(L119:O119))</f>
        <v/>
      </c>
      <c r="U119" s="7">
        <f>IF(SUM(L119:O119)=0,"",M119/SUM(L119:O119))</f>
        <v/>
      </c>
      <c r="V119" s="7">
        <f>IF(SUM(L119:O119)=0,"",N119/SUM(L119:O119))</f>
        <v/>
      </c>
      <c r="W119" s="7">
        <f>IF(SUM(L119:O119)=0,"",O119/SUM(L119:O119))</f>
        <v/>
      </c>
    </row>
    <row r="120">
      <c r="A120" t="n">
        <v>128</v>
      </c>
      <c r="B120" t="inlineStr">
        <is>
          <t>From the beginning, Books &amp;amp; Breakfast has been supported by partnerships with [community_foundation_tag]. [community_foundation_tag] root2fruit program provided funds and training when the organization was established. Later, [community_foundation_tag] supported Books &amp;amp; Breakfast's ability to raise major gifts through the Building the Future and Partners for the Future matching gift challenges.</t>
        </is>
      </c>
      <c r="C120" t="n">
        <v>1</v>
      </c>
      <c r="D120" t="n">
        <v>3</v>
      </c>
      <c r="E120" t="n">
        <v>0</v>
      </c>
      <c r="F120" t="n">
        <v>0</v>
      </c>
      <c r="G120" t="b">
        <v>1</v>
      </c>
      <c r="H120" t="n">
        <v>0</v>
      </c>
      <c r="I120" t="n">
        <v>0</v>
      </c>
      <c r="J120" t="n">
        <v>2</v>
      </c>
      <c r="K120" t="n">
        <v>0</v>
      </c>
      <c r="L120" t="n">
        <v>5</v>
      </c>
      <c r="M120" t="n">
        <v>0</v>
      </c>
      <c r="N120" t="n">
        <v>4</v>
      </c>
      <c r="O120" t="n">
        <v>0</v>
      </c>
      <c r="P120" s="7">
        <f>IF(SUM(H120:K120)=0,"",H120/SUM(H120:K120))</f>
        <v/>
      </c>
      <c r="Q120" s="7">
        <f>IF(SUM(H120:K120)=0,"",I120/SUM(H120:K120))</f>
        <v/>
      </c>
      <c r="R120" s="7">
        <f>IF(SUM(H120:K120)=0,"",J120/SUM(H120:K120))</f>
        <v/>
      </c>
      <c r="S120" s="7">
        <f>IF(SUM(H120:K120)=0,"",K120/SUM(H120:K120))</f>
        <v/>
      </c>
      <c r="T120" s="7">
        <f>IF(SUM(L120:O120)=0,"",L120/SUM(L120:O120))</f>
        <v/>
      </c>
      <c r="U120" s="7">
        <f>IF(SUM(L120:O120)=0,"",M120/SUM(L120:O120))</f>
        <v/>
      </c>
      <c r="V120" s="7">
        <f>IF(SUM(L120:O120)=0,"",N120/SUM(L120:O120))</f>
        <v/>
      </c>
      <c r="W120" s="7">
        <f>IF(SUM(L120:O120)=0,"",O120/SUM(L120:O120))</f>
        <v/>
      </c>
    </row>
    <row r="121">
      <c r="A121" t="n">
        <v>129</v>
      </c>
      <c r="B121" t="inlineStr">
        <is>
          <t>[community_foundation_tag] was also there when schools shut their doors in March 2020 and the Books &amp;amp; Breakfast onsite model was turned upside down.</t>
        </is>
      </c>
      <c r="C121" t="n">
        <v>0</v>
      </c>
      <c r="D121" t="n">
        <v>2</v>
      </c>
      <c r="E121" t="n">
        <v>0</v>
      </c>
      <c r="F121" t="n">
        <v>0</v>
      </c>
      <c r="G121" t="b">
        <v>0</v>
      </c>
      <c r="H121" t="n">
        <v>0</v>
      </c>
      <c r="I121" t="n">
        <v>0</v>
      </c>
      <c r="J121" t="n">
        <v>0</v>
      </c>
      <c r="K121" t="n">
        <v>0</v>
      </c>
      <c r="L121" t="n">
        <v>4</v>
      </c>
      <c r="M121" t="n">
        <v>0</v>
      </c>
      <c r="N121" t="n">
        <v>0</v>
      </c>
      <c r="O121" t="n">
        <v>2</v>
      </c>
      <c r="P121" s="7">
        <f>IF(SUM(H121:K121)=0,"",H121/SUM(H121:K121))</f>
        <v/>
      </c>
      <c r="Q121" s="7">
        <f>IF(SUM(H121:K121)=0,"",I121/SUM(H121:K121))</f>
        <v/>
      </c>
      <c r="R121" s="7">
        <f>IF(SUM(H121:K121)=0,"",J121/SUM(H121:K121))</f>
        <v/>
      </c>
      <c r="S121" s="7">
        <f>IF(SUM(H121:K121)=0,"",K121/SUM(H121:K121))</f>
        <v/>
      </c>
      <c r="T121" s="7">
        <f>IF(SUM(L121:O121)=0,"",L121/SUM(L121:O121))</f>
        <v/>
      </c>
      <c r="U121" s="7">
        <f>IF(SUM(L121:O121)=0,"",M121/SUM(L121:O121))</f>
        <v/>
      </c>
      <c r="V121" s="7">
        <f>IF(SUM(L121:O121)=0,"",N121/SUM(L121:O121))</f>
        <v/>
      </c>
      <c r="W121" s="7">
        <f>IF(SUM(L121:O121)=0,"",O121/SUM(L121:O121))</f>
        <v/>
      </c>
    </row>
    <row r="122">
      <c r="A122" t="n">
        <v>130</v>
      </c>
      <c r="B122" t="inlineStr">
        <is>
          <t>'[community_foundation_tag] has given us the bandwidth to rebuild and expand,' says [individual_tag], Executive Director. 'This has been a hard year, but having [community_foundation_tag] there to walk through the crisis with us has made such a difference in rebuilding our work.'</t>
        </is>
      </c>
      <c r="C122" t="n">
        <v>1</v>
      </c>
      <c r="D122" t="n">
        <v>2</v>
      </c>
      <c r="E122" t="n">
        <v>0</v>
      </c>
      <c r="F122" t="n">
        <v>0</v>
      </c>
      <c r="G122" t="b">
        <v>1</v>
      </c>
      <c r="H122" t="n">
        <v>2</v>
      </c>
      <c r="I122" t="n">
        <v>0</v>
      </c>
      <c r="J122" t="n">
        <v>0</v>
      </c>
      <c r="K122" t="n">
        <v>0</v>
      </c>
      <c r="L122" t="n">
        <v>4</v>
      </c>
      <c r="M122" t="n">
        <v>0</v>
      </c>
      <c r="N122" t="n">
        <v>2</v>
      </c>
      <c r="O122" t="n">
        <v>0</v>
      </c>
      <c r="P122" s="7">
        <f>IF(SUM(H122:K122)=0,"",H122/SUM(H122:K122))</f>
        <v/>
      </c>
      <c r="Q122" s="7">
        <f>IF(SUM(H122:K122)=0,"",I122/SUM(H122:K122))</f>
        <v/>
      </c>
      <c r="R122" s="7">
        <f>IF(SUM(H122:K122)=0,"",J122/SUM(H122:K122))</f>
        <v/>
      </c>
      <c r="S122" s="7">
        <f>IF(SUM(H122:K122)=0,"",K122/SUM(H122:K122))</f>
        <v/>
      </c>
      <c r="T122" s="7">
        <f>IF(SUM(L122:O122)=0,"",L122/SUM(L122:O122))</f>
        <v/>
      </c>
      <c r="U122" s="7">
        <f>IF(SUM(L122:O122)=0,"",M122/SUM(L122:O122))</f>
        <v/>
      </c>
      <c r="V122" s="7">
        <f>IF(SUM(L122:O122)=0,"",N122/SUM(L122:O122))</f>
        <v/>
      </c>
      <c r="W122" s="7">
        <f>IF(SUM(L122:O122)=0,"",O122/SUM(L122:O122))</f>
        <v/>
      </c>
    </row>
    <row r="123">
      <c r="A123" t="n">
        <v>131</v>
      </c>
      <c r="B123" t="inlineStr">
        <is>
          <t>Books &amp;amp; Breakfast</t>
        </is>
      </c>
      <c r="C123" t="n">
        <v>0</v>
      </c>
      <c r="D123" t="n">
        <v>1</v>
      </c>
      <c r="E123" t="n">
        <v>0</v>
      </c>
      <c r="F123" t="n">
        <v>0</v>
      </c>
      <c r="G123" t="b">
        <v>0</v>
      </c>
      <c r="H123" t="n">
        <v>0</v>
      </c>
      <c r="I123" t="n">
        <v>0</v>
      </c>
      <c r="J123" t="n">
        <v>0</v>
      </c>
      <c r="K123" t="n">
        <v>0</v>
      </c>
      <c r="L123" t="n">
        <v>2</v>
      </c>
      <c r="M123" t="n">
        <v>0</v>
      </c>
      <c r="N123" t="n">
        <v>0</v>
      </c>
      <c r="O123" t="n">
        <v>1</v>
      </c>
      <c r="P123" s="7">
        <f>IF(SUM(H123:K123)=0,"",H123/SUM(H123:K123))</f>
        <v/>
      </c>
      <c r="Q123" s="7">
        <f>IF(SUM(H123:K123)=0,"",I123/SUM(H123:K123))</f>
        <v/>
      </c>
      <c r="R123" s="7">
        <f>IF(SUM(H123:K123)=0,"",J123/SUM(H123:K123))</f>
        <v/>
      </c>
      <c r="S123" s="7">
        <f>IF(SUM(H123:K123)=0,"",K123/SUM(H123:K123))</f>
        <v/>
      </c>
      <c r="T123" s="7">
        <f>IF(SUM(L123:O123)=0,"",L123/SUM(L123:O123))</f>
        <v/>
      </c>
      <c r="U123" s="7">
        <f>IF(SUM(L123:O123)=0,"",M123/SUM(L123:O123))</f>
        <v/>
      </c>
      <c r="V123" s="7">
        <f>IF(SUM(L123:O123)=0,"",N123/SUM(L123:O123))</f>
        <v/>
      </c>
      <c r="W123" s="7">
        <f>IF(SUM(L123:O123)=0,"",O123/SUM(L123:O123))</f>
        <v/>
      </c>
    </row>
    <row r="124">
      <c r="A124" t="n">
        <v>132</v>
      </c>
      <c r="B124" t="inlineStr">
        <is>
          <t>had to quickly shift to providing remote tutoring and support for eleven schools.</t>
        </is>
      </c>
      <c r="C124" t="n">
        <v>0</v>
      </c>
      <c r="D124" t="n">
        <v>1</v>
      </c>
      <c r="E124" t="n">
        <v>0</v>
      </c>
      <c r="F124" t="n">
        <v>0</v>
      </c>
      <c r="G124" t="b">
        <v>0</v>
      </c>
      <c r="H124" t="n">
        <v>0</v>
      </c>
      <c r="I124" t="n">
        <v>0</v>
      </c>
      <c r="J124" t="n">
        <v>0</v>
      </c>
      <c r="K124" t="n">
        <v>0</v>
      </c>
      <c r="L124" t="n">
        <v>1</v>
      </c>
      <c r="M124" t="n">
        <v>0</v>
      </c>
      <c r="N124" t="n">
        <v>2</v>
      </c>
      <c r="O124" t="n">
        <v>0</v>
      </c>
      <c r="P124" s="7">
        <f>IF(SUM(H124:K124)=0,"",H124/SUM(H124:K124))</f>
        <v/>
      </c>
      <c r="Q124" s="7">
        <f>IF(SUM(H124:K124)=0,"",I124/SUM(H124:K124))</f>
        <v/>
      </c>
      <c r="R124" s="7">
        <f>IF(SUM(H124:K124)=0,"",J124/SUM(H124:K124))</f>
        <v/>
      </c>
      <c r="S124" s="7">
        <f>IF(SUM(H124:K124)=0,"",K124/SUM(H124:K124))</f>
        <v/>
      </c>
      <c r="T124" s="7">
        <f>IF(SUM(L124:O124)=0,"",L124/SUM(L124:O124))</f>
        <v/>
      </c>
      <c r="U124" s="7">
        <f>IF(SUM(L124:O124)=0,"",M124/SUM(L124:O124))</f>
        <v/>
      </c>
      <c r="V124" s="7">
        <f>IF(SUM(L124:O124)=0,"",N124/SUM(L124:O124))</f>
        <v/>
      </c>
      <c r="W124" s="7">
        <f>IF(SUM(L124:O124)=0,"",O124/SUM(L124:O124))</f>
        <v/>
      </c>
    </row>
    <row r="125">
      <c r="A125" t="n">
        <v>133</v>
      </c>
      <c r="B125" t="inlineStr">
        <is>
          <t>They were able to do so with the help of a $50,000 grant from [community_foundation_tag] and a partnership with Y.O.U.</t>
        </is>
      </c>
      <c r="C125" t="n">
        <v>1</v>
      </c>
      <c r="D125" t="n">
        <v>2</v>
      </c>
      <c r="E125" t="n">
        <v>0</v>
      </c>
      <c r="F125" t="n">
        <v>0</v>
      </c>
      <c r="G125" t="b">
        <v>1</v>
      </c>
      <c r="H125" t="n">
        <v>2</v>
      </c>
      <c r="I125" t="n">
        <v>0</v>
      </c>
      <c r="J125" t="n">
        <v>0</v>
      </c>
      <c r="K125" t="n">
        <v>0</v>
      </c>
      <c r="L125" t="n">
        <v>2</v>
      </c>
      <c r="M125" t="n">
        <v>0</v>
      </c>
      <c r="N125" t="n">
        <v>4</v>
      </c>
      <c r="O125" t="n">
        <v>0</v>
      </c>
      <c r="P125" s="7">
        <f>IF(SUM(H125:K125)=0,"",H125/SUM(H125:K125))</f>
        <v/>
      </c>
      <c r="Q125" s="7">
        <f>IF(SUM(H125:K125)=0,"",I125/SUM(H125:K125))</f>
        <v/>
      </c>
      <c r="R125" s="7">
        <f>IF(SUM(H125:K125)=0,"",J125/SUM(H125:K125))</f>
        <v/>
      </c>
      <c r="S125" s="7">
        <f>IF(SUM(H125:K125)=0,"",K125/SUM(H125:K125))</f>
        <v/>
      </c>
      <c r="T125" s="7">
        <f>IF(SUM(L125:O125)=0,"",L125/SUM(L125:O125))</f>
        <v/>
      </c>
      <c r="U125" s="7">
        <f>IF(SUM(L125:O125)=0,"",M125/SUM(L125:O125))</f>
        <v/>
      </c>
      <c r="V125" s="7">
        <f>IF(SUM(L125:O125)=0,"",N125/SUM(L125:O125))</f>
        <v/>
      </c>
      <c r="W125" s="7">
        <f>IF(SUM(L125:O125)=0,"",O125/SUM(L125:O125))</f>
        <v/>
      </c>
    </row>
    <row r="126">
      <c r="A126" t="n">
        <v>134</v>
      </c>
      <c r="B126" t="inlineStr">
        <is>
          <t>In 2020, [community_foundation_tag] also offered unrestricted operating grants to nonprofits for the first time, trusting its partners to use funds as they knew how to best.</t>
        </is>
      </c>
      <c r="C126" t="n">
        <v>1</v>
      </c>
      <c r="D126" t="n">
        <v>2</v>
      </c>
      <c r="E126" t="n">
        <v>0</v>
      </c>
      <c r="F126" t="n">
        <v>0</v>
      </c>
      <c r="G126" t="b">
        <v>1</v>
      </c>
      <c r="H126" t="n">
        <v>0</v>
      </c>
      <c r="I126" t="n">
        <v>0</v>
      </c>
      <c r="J126" t="n">
        <v>0</v>
      </c>
      <c r="K126" t="n">
        <v>2</v>
      </c>
      <c r="L126" t="n">
        <v>2</v>
      </c>
      <c r="M126" t="n">
        <v>0</v>
      </c>
      <c r="N126" t="n">
        <v>0</v>
      </c>
      <c r="O126" t="n">
        <v>4</v>
      </c>
      <c r="P126" s="7">
        <f>IF(SUM(H126:K126)=0,"",H126/SUM(H126:K126))</f>
        <v/>
      </c>
      <c r="Q126" s="7">
        <f>IF(SUM(H126:K126)=0,"",I126/SUM(H126:K126))</f>
        <v/>
      </c>
      <c r="R126" s="7">
        <f>IF(SUM(H126:K126)=0,"",J126/SUM(H126:K126))</f>
        <v/>
      </c>
      <c r="S126" s="7">
        <f>IF(SUM(H126:K126)=0,"",K126/SUM(H126:K126))</f>
        <v/>
      </c>
      <c r="T126" s="7">
        <f>IF(SUM(L126:O126)=0,"",L126/SUM(L126:O126))</f>
        <v/>
      </c>
      <c r="U126" s="7">
        <f>IF(SUM(L126:O126)=0,"",M126/SUM(L126:O126))</f>
        <v/>
      </c>
      <c r="V126" s="7">
        <f>IF(SUM(L126:O126)=0,"",N126/SUM(L126:O126))</f>
        <v/>
      </c>
      <c r="W126" s="7">
        <f>IF(SUM(L126:O126)=0,"",O126/SUM(L126:O126))</f>
        <v/>
      </c>
    </row>
    <row r="127">
      <c r="A127" t="n">
        <v>135</v>
      </c>
      <c r="B127" t="inlineStr">
        <is>
          <t>Books &amp;amp; Breakfast received one of these operating grants as well.</t>
        </is>
      </c>
      <c r="C127" t="n">
        <v>1</v>
      </c>
      <c r="D127" t="n">
        <v>1</v>
      </c>
      <c r="E127" t="n">
        <v>0</v>
      </c>
      <c r="F127" t="n">
        <v>0</v>
      </c>
      <c r="G127" t="b">
        <v>1</v>
      </c>
      <c r="H127" t="n">
        <v>0</v>
      </c>
      <c r="I127" t="n">
        <v>0</v>
      </c>
      <c r="J127" t="n">
        <v>0</v>
      </c>
      <c r="K127" t="n">
        <v>2</v>
      </c>
      <c r="L127" t="n">
        <v>1</v>
      </c>
      <c r="M127" t="n">
        <v>0</v>
      </c>
      <c r="N127" t="n">
        <v>0</v>
      </c>
      <c r="O127" t="n">
        <v>2</v>
      </c>
      <c r="P127" s="7">
        <f>IF(SUM(H127:K127)=0,"",H127/SUM(H127:K127))</f>
        <v/>
      </c>
      <c r="Q127" s="7">
        <f>IF(SUM(H127:K127)=0,"",I127/SUM(H127:K127))</f>
        <v/>
      </c>
      <c r="R127" s="7">
        <f>IF(SUM(H127:K127)=0,"",J127/SUM(H127:K127))</f>
        <v/>
      </c>
      <c r="S127" s="7">
        <f>IF(SUM(H127:K127)=0,"",K127/SUM(H127:K127))</f>
        <v/>
      </c>
      <c r="T127" s="7">
        <f>IF(SUM(L127:O127)=0,"",L127/SUM(L127:O127))</f>
        <v/>
      </c>
      <c r="U127" s="7">
        <f>IF(SUM(L127:O127)=0,"",M127/SUM(L127:O127))</f>
        <v/>
      </c>
      <c r="V127" s="7">
        <f>IF(SUM(L127:O127)=0,"",N127/SUM(L127:O127))</f>
        <v/>
      </c>
      <c r="W127" s="7">
        <f>IF(SUM(L127:O127)=0,"",O127/SUM(L127:O127))</f>
        <v/>
      </c>
    </row>
    <row r="128">
      <c r="A128" t="n">
        <v>136</v>
      </c>
      <c r="B128" t="inlineStr">
        <is>
          <t>[community_foundation_tag]'s grantmaking during 2020 and early 2021 led to creating a permanent grantmaking program to support Nonprofit Growth and Sustainability.</t>
        </is>
      </c>
      <c r="C128" t="n">
        <v>1</v>
      </c>
      <c r="D128" t="n">
        <v>1</v>
      </c>
      <c r="E128" t="n">
        <v>0</v>
      </c>
      <c r="F128" t="n">
        <v>0</v>
      </c>
      <c r="G128" t="b">
        <v>1</v>
      </c>
      <c r="H128" t="n">
        <v>0</v>
      </c>
      <c r="I128" t="n">
        <v>0</v>
      </c>
      <c r="J128" t="n">
        <v>2</v>
      </c>
      <c r="K128" t="n">
        <v>0</v>
      </c>
      <c r="L128" t="n">
        <v>1</v>
      </c>
      <c r="M128" t="n">
        <v>0</v>
      </c>
      <c r="N128" t="n">
        <v>2</v>
      </c>
      <c r="O128" t="n">
        <v>0</v>
      </c>
      <c r="P128" s="7">
        <f>IF(SUM(H128:K128)=0,"",H128/SUM(H128:K128))</f>
        <v/>
      </c>
      <c r="Q128" s="7">
        <f>IF(SUM(H128:K128)=0,"",I128/SUM(H128:K128))</f>
        <v/>
      </c>
      <c r="R128" s="7">
        <f>IF(SUM(H128:K128)=0,"",J128/SUM(H128:K128))</f>
        <v/>
      </c>
      <c r="S128" s="7">
        <f>IF(SUM(H128:K128)=0,"",K128/SUM(H128:K128))</f>
        <v/>
      </c>
      <c r="T128" s="7">
        <f>IF(SUM(L128:O128)=0,"",L128/SUM(L128:O128))</f>
        <v/>
      </c>
      <c r="U128" s="7">
        <f>IF(SUM(L128:O128)=0,"",M128/SUM(L128:O128))</f>
        <v/>
      </c>
      <c r="V128" s="7">
        <f>IF(SUM(L128:O128)=0,"",N128/SUM(L128:O128))</f>
        <v/>
      </c>
      <c r="W128" s="7">
        <f>IF(SUM(L128:O128)=0,"",O128/SUM(L128:O128))</f>
        <v/>
      </c>
    </row>
    <row r="129">
      <c r="A129" t="n">
        <v>137</v>
      </c>
      <c r="B129" t="inlineStr">
        <is>
          <t>Part of the program provides unrestricted operating grants to provide flexible support for the vital work of nonprofits.</t>
        </is>
      </c>
      <c r="C129" t="n">
        <v>1</v>
      </c>
      <c r="D129" t="n">
        <v>2</v>
      </c>
      <c r="E129" t="n">
        <v>0</v>
      </c>
      <c r="F129" t="n">
        <v>0</v>
      </c>
      <c r="G129" t="b">
        <v>1</v>
      </c>
      <c r="H129" t="n">
        <v>0</v>
      </c>
      <c r="I129" t="n">
        <v>0</v>
      </c>
      <c r="J129" t="n">
        <v>1</v>
      </c>
      <c r="K129" t="n">
        <v>2</v>
      </c>
      <c r="L129" t="n">
        <v>2</v>
      </c>
      <c r="M129" t="n">
        <v>0</v>
      </c>
      <c r="N129" t="n">
        <v>0</v>
      </c>
      <c r="O129" t="n">
        <v>4</v>
      </c>
      <c r="P129" s="7">
        <f>IF(SUM(H129:K129)=0,"",H129/SUM(H129:K129))</f>
        <v/>
      </c>
      <c r="Q129" s="7">
        <f>IF(SUM(H129:K129)=0,"",I129/SUM(H129:K129))</f>
        <v/>
      </c>
      <c r="R129" s="7">
        <f>IF(SUM(H129:K129)=0,"",J129/SUM(H129:K129))</f>
        <v/>
      </c>
      <c r="S129" s="7">
        <f>IF(SUM(H129:K129)=0,"",K129/SUM(H129:K129))</f>
        <v/>
      </c>
      <c r="T129" s="7">
        <f>IF(SUM(L129:O129)=0,"",L129/SUM(L129:O129))</f>
        <v/>
      </c>
      <c r="U129" s="7">
        <f>IF(SUM(L129:O129)=0,"",M129/SUM(L129:O129))</f>
        <v/>
      </c>
      <c r="V129" s="7">
        <f>IF(SUM(L129:O129)=0,"",N129/SUM(L129:O129))</f>
        <v/>
      </c>
      <c r="W129" s="7">
        <f>IF(SUM(L129:O129)=0,"",O129/SUM(L129:O129))</f>
        <v/>
      </c>
    </row>
    <row r="130">
      <c r="A130" t="n">
        <v>138</v>
      </c>
      <c r="B130" t="inlineStr">
        <is>
          <t>EXECUTIVE DIRECTOR, BOOKS AND BREAKFAST</t>
        </is>
      </c>
      <c r="C130" t="n">
        <v>0</v>
      </c>
      <c r="D130" t="n">
        <v>1</v>
      </c>
      <c r="E130" t="n">
        <v>0</v>
      </c>
      <c r="F130" t="n">
        <v>0</v>
      </c>
      <c r="G130" t="b">
        <v>0</v>
      </c>
      <c r="H130" t="n">
        <v>0</v>
      </c>
      <c r="I130" t="n">
        <v>0</v>
      </c>
      <c r="J130" t="n">
        <v>0</v>
      </c>
      <c r="K130" t="n">
        <v>0</v>
      </c>
      <c r="L130" t="n">
        <v>1</v>
      </c>
      <c r="M130" t="n">
        <v>0</v>
      </c>
      <c r="N130" t="n">
        <v>0</v>
      </c>
      <c r="O130" t="n">
        <v>2</v>
      </c>
      <c r="P130" s="7">
        <f>IF(SUM(H130:K130)=0,"",H130/SUM(H130:K130))</f>
        <v/>
      </c>
      <c r="Q130" s="7">
        <f>IF(SUM(H130:K130)=0,"",I130/SUM(H130:K130))</f>
        <v/>
      </c>
      <c r="R130" s="7">
        <f>IF(SUM(H130:K130)=0,"",J130/SUM(H130:K130))</f>
        <v/>
      </c>
      <c r="S130" s="7">
        <f>IF(SUM(H130:K130)=0,"",K130/SUM(H130:K130))</f>
        <v/>
      </c>
      <c r="T130" s="7">
        <f>IF(SUM(L130:O130)=0,"",L130/SUM(L130:O130))</f>
        <v/>
      </c>
      <c r="U130" s="7">
        <f>IF(SUM(L130:O130)=0,"",M130/SUM(L130:O130))</f>
        <v/>
      </c>
      <c r="V130" s="7">
        <f>IF(SUM(L130:O130)=0,"",N130/SUM(L130:O130))</f>
        <v/>
      </c>
      <c r="W130" s="7">
        <f>IF(SUM(L130:O130)=0,"",O130/SUM(L130:O130))</f>
        <v/>
      </c>
    </row>
    <row r="131">
      <c r="A131" t="n">
        <v>140</v>
      </c>
      <c r="B131" t="inlineStr">
        <is>
          <t>' The pandemic for us was a very destabilizing, very overwhelming moment that has turned into a lot of moments continued over time.</t>
        </is>
      </c>
      <c r="C131" t="n">
        <v>0</v>
      </c>
      <c r="D131" t="n">
        <v>1</v>
      </c>
      <c r="E131" t="n">
        <v>0</v>
      </c>
      <c r="F131" t="n">
        <v>0</v>
      </c>
      <c r="G131" t="b">
        <v>0</v>
      </c>
      <c r="H131" t="n">
        <v>0</v>
      </c>
      <c r="I131" t="n">
        <v>0</v>
      </c>
      <c r="J131" t="n">
        <v>0</v>
      </c>
      <c r="K131" t="n">
        <v>0</v>
      </c>
      <c r="L131" t="n">
        <v>2</v>
      </c>
      <c r="M131" t="n">
        <v>0</v>
      </c>
      <c r="N131" t="n">
        <v>1</v>
      </c>
      <c r="O131" t="n">
        <v>0</v>
      </c>
      <c r="P131" s="7">
        <f>IF(SUM(H131:K131)=0,"",H131/SUM(H131:K131))</f>
        <v/>
      </c>
      <c r="Q131" s="7">
        <f>IF(SUM(H131:K131)=0,"",I131/SUM(H131:K131))</f>
        <v/>
      </c>
      <c r="R131" s="7">
        <f>IF(SUM(H131:K131)=0,"",J131/SUM(H131:K131))</f>
        <v/>
      </c>
      <c r="S131" s="7">
        <f>IF(SUM(H131:K131)=0,"",K131/SUM(H131:K131))</f>
        <v/>
      </c>
      <c r="T131" s="7">
        <f>IF(SUM(L131:O131)=0,"",L131/SUM(L131:O131))</f>
        <v/>
      </c>
      <c r="U131" s="7">
        <f>IF(SUM(L131:O131)=0,"",M131/SUM(L131:O131))</f>
        <v/>
      </c>
      <c r="V131" s="7">
        <f>IF(SUM(L131:O131)=0,"",N131/SUM(L131:O131))</f>
        <v/>
      </c>
      <c r="W131" s="7">
        <f>IF(SUM(L131:O131)=0,"",O131/SUM(L131:O131))</f>
        <v/>
      </c>
    </row>
    <row r="132">
      <c r="A132" t="n">
        <v>141</v>
      </c>
      <c r="B132" t="inlineStr">
        <is>
          <t>Seeing schools, students, and families so disrupted was really difficult, and we had to adjust to figure out how to meet that moment and stay in support of students.</t>
        </is>
      </c>
      <c r="C132" t="n">
        <v>0</v>
      </c>
      <c r="D132" t="n">
        <v>1</v>
      </c>
      <c r="E132" t="n">
        <v>0</v>
      </c>
      <c r="F132" t="n">
        <v>0</v>
      </c>
      <c r="G132" t="b">
        <v>0</v>
      </c>
      <c r="H132" t="n">
        <v>0</v>
      </c>
      <c r="I132" t="n">
        <v>0</v>
      </c>
      <c r="J132" t="n">
        <v>0</v>
      </c>
      <c r="K132" t="n">
        <v>0</v>
      </c>
      <c r="L132" t="n">
        <v>2</v>
      </c>
      <c r="M132" t="n">
        <v>0</v>
      </c>
      <c r="N132" t="n">
        <v>1</v>
      </c>
      <c r="O132" t="n">
        <v>0</v>
      </c>
      <c r="P132" s="7">
        <f>IF(SUM(H132:K132)=0,"",H132/SUM(H132:K132))</f>
        <v/>
      </c>
      <c r="Q132" s="7">
        <f>IF(SUM(H132:K132)=0,"",I132/SUM(H132:K132))</f>
        <v/>
      </c>
      <c r="R132" s="7">
        <f>IF(SUM(H132:K132)=0,"",J132/SUM(H132:K132))</f>
        <v/>
      </c>
      <c r="S132" s="7">
        <f>IF(SUM(H132:K132)=0,"",K132/SUM(H132:K132))</f>
        <v/>
      </c>
      <c r="T132" s="7">
        <f>IF(SUM(L132:O132)=0,"",L132/SUM(L132:O132))</f>
        <v/>
      </c>
      <c r="U132" s="7">
        <f>IF(SUM(L132:O132)=0,"",M132/SUM(L132:O132))</f>
        <v/>
      </c>
      <c r="V132" s="7">
        <f>IF(SUM(L132:O132)=0,"",N132/SUM(L132:O132))</f>
        <v/>
      </c>
      <c r="W132" s="7">
        <f>IF(SUM(L132:O132)=0,"",O132/SUM(L132:O132))</f>
        <v/>
      </c>
    </row>
    <row r="133">
      <c r="A133" t="n">
        <v>142</v>
      </c>
      <c r="B133" t="inlineStr">
        <is>
          <t>[community_foundation_tag] adjusting their own processes around grant funding was huge for us.</t>
        </is>
      </c>
      <c r="C133" t="n">
        <v>1</v>
      </c>
      <c r="D133" t="n">
        <v>1</v>
      </c>
      <c r="E133" t="n">
        <v>0</v>
      </c>
      <c r="F133" t="n">
        <v>0</v>
      </c>
      <c r="G133" t="b">
        <v>1</v>
      </c>
      <c r="H133" t="n">
        <v>2</v>
      </c>
      <c r="I133" t="n">
        <v>0</v>
      </c>
      <c r="J133" t="n">
        <v>0</v>
      </c>
      <c r="K133" t="n">
        <v>0</v>
      </c>
      <c r="L133" t="n">
        <v>0</v>
      </c>
      <c r="M133" t="n">
        <v>0</v>
      </c>
      <c r="N133" t="n">
        <v>1</v>
      </c>
      <c r="O133" t="n">
        <v>2</v>
      </c>
      <c r="P133" s="7">
        <f>IF(SUM(H133:K133)=0,"",H133/SUM(H133:K133))</f>
        <v/>
      </c>
      <c r="Q133" s="7">
        <f>IF(SUM(H133:K133)=0,"",I133/SUM(H133:K133))</f>
        <v/>
      </c>
      <c r="R133" s="7">
        <f>IF(SUM(H133:K133)=0,"",J133/SUM(H133:K133))</f>
        <v/>
      </c>
      <c r="S133" s="7">
        <f>IF(SUM(H133:K133)=0,"",K133/SUM(H133:K133))</f>
        <v/>
      </c>
      <c r="T133" s="7">
        <f>IF(SUM(L133:O133)=0,"",L133/SUM(L133:O133))</f>
        <v/>
      </c>
      <c r="U133" s="7">
        <f>IF(SUM(L133:O133)=0,"",M133/SUM(L133:O133))</f>
        <v/>
      </c>
      <c r="V133" s="7">
        <f>IF(SUM(L133:O133)=0,"",N133/SUM(L133:O133))</f>
        <v/>
      </c>
      <c r="W133" s="7">
        <f>IF(SUM(L133:O133)=0,"",O133/SUM(L133:O133))</f>
        <v/>
      </c>
    </row>
    <row r="134">
      <c r="A134" t="n">
        <v>143</v>
      </c>
      <c r="B134" t="inlineStr">
        <is>
          <t>With the number of challenges and the nature of things changing rapidly because of the pandemic, we needed to be able to respond quickly and creatively in trying to solve problems.</t>
        </is>
      </c>
      <c r="C134" t="n">
        <v>1</v>
      </c>
      <c r="D134" t="n">
        <v>1</v>
      </c>
      <c r="E134" t="n">
        <v>0</v>
      </c>
      <c r="F134" t="n">
        <v>0</v>
      </c>
      <c r="G134" t="b">
        <v>1</v>
      </c>
      <c r="H134" t="n">
        <v>2</v>
      </c>
      <c r="I134" t="n">
        <v>0</v>
      </c>
      <c r="J134" t="n">
        <v>0</v>
      </c>
      <c r="K134" t="n">
        <v>0</v>
      </c>
      <c r="L134" t="n">
        <v>2</v>
      </c>
      <c r="M134" t="n">
        <v>0</v>
      </c>
      <c r="N134" t="n">
        <v>1</v>
      </c>
      <c r="O134" t="n">
        <v>0</v>
      </c>
      <c r="P134" s="7">
        <f>IF(SUM(H134:K134)=0,"",H134/SUM(H134:K134))</f>
        <v/>
      </c>
      <c r="Q134" s="7">
        <f>IF(SUM(H134:K134)=0,"",I134/SUM(H134:K134))</f>
        <v/>
      </c>
      <c r="R134" s="7">
        <f>IF(SUM(H134:K134)=0,"",J134/SUM(H134:K134))</f>
        <v/>
      </c>
      <c r="S134" s="7">
        <f>IF(SUM(H134:K134)=0,"",K134/SUM(H134:K134))</f>
        <v/>
      </c>
      <c r="T134" s="7">
        <f>IF(SUM(L134:O134)=0,"",L134/SUM(L134:O134))</f>
        <v/>
      </c>
      <c r="U134" s="7">
        <f>IF(SUM(L134:O134)=0,"",M134/SUM(L134:O134))</f>
        <v/>
      </c>
      <c r="V134" s="7">
        <f>IF(SUM(L134:O134)=0,"",N134/SUM(L134:O134))</f>
        <v/>
      </c>
      <c r="W134" s="7">
        <f>IF(SUM(L134:O134)=0,"",O134/SUM(L134:O134))</f>
        <v/>
      </c>
    </row>
    <row r="135">
      <c r="A135" t="n">
        <v>144</v>
      </c>
      <c r="B135" t="inlineStr">
        <is>
          <t>[community_foundation_tag] was able to say, 'Hey, we trust you.</t>
        </is>
      </c>
      <c r="C135" t="n">
        <v>1</v>
      </c>
      <c r="D135" t="n">
        <v>1</v>
      </c>
      <c r="E135" t="n">
        <v>0</v>
      </c>
      <c r="F135" t="n">
        <v>0</v>
      </c>
      <c r="G135" t="b">
        <v>1</v>
      </c>
      <c r="H135" t="n">
        <v>0</v>
      </c>
      <c r="I135" t="n">
        <v>0</v>
      </c>
      <c r="J135" t="n">
        <v>0</v>
      </c>
      <c r="K135" t="n">
        <v>2</v>
      </c>
      <c r="L135" t="n">
        <v>0</v>
      </c>
      <c r="M135" t="n">
        <v>0</v>
      </c>
      <c r="N135" t="n">
        <v>1</v>
      </c>
      <c r="O135" t="n">
        <v>2</v>
      </c>
      <c r="P135" s="7">
        <f>IF(SUM(H135:K135)=0,"",H135/SUM(H135:K135))</f>
        <v/>
      </c>
      <c r="Q135" s="7">
        <f>IF(SUM(H135:K135)=0,"",I135/SUM(H135:K135))</f>
        <v/>
      </c>
      <c r="R135" s="7">
        <f>IF(SUM(H135:K135)=0,"",J135/SUM(H135:K135))</f>
        <v/>
      </c>
      <c r="S135" s="7">
        <f>IF(SUM(H135:K135)=0,"",K135/SUM(H135:K135))</f>
        <v/>
      </c>
      <c r="T135" s="7">
        <f>IF(SUM(L135:O135)=0,"",L135/SUM(L135:O135))</f>
        <v/>
      </c>
      <c r="U135" s="7">
        <f>IF(SUM(L135:O135)=0,"",M135/SUM(L135:O135))</f>
        <v/>
      </c>
      <c r="V135" s="7">
        <f>IF(SUM(L135:O135)=0,"",N135/SUM(L135:O135))</f>
        <v/>
      </c>
      <c r="W135" s="7">
        <f>IF(SUM(L135:O135)=0,"",O135/SUM(L135:O135))</f>
        <v/>
      </c>
    </row>
    <row r="136">
      <c r="A136" t="n">
        <v>145</v>
      </c>
      <c r="B136" t="inlineStr">
        <is>
          <t>We're going to come alongside you, and we're going to give you the ability to shift quickly, because we're going to let go of processes that aren't necessary at this moment to make sure that we're able to meet the needs of families and students.'</t>
        </is>
      </c>
      <c r="C136" t="n">
        <v>1</v>
      </c>
      <c r="D136" t="n">
        <v>1</v>
      </c>
      <c r="E136" t="n">
        <v>0</v>
      </c>
      <c r="F136" t="n">
        <v>0</v>
      </c>
      <c r="G136" t="b">
        <v>1</v>
      </c>
      <c r="H136" t="n">
        <v>2</v>
      </c>
      <c r="I136" t="n">
        <v>0</v>
      </c>
      <c r="J136" t="n">
        <v>0</v>
      </c>
      <c r="K136" t="n">
        <v>0</v>
      </c>
      <c r="L136" t="n">
        <v>1</v>
      </c>
      <c r="M136" t="n">
        <v>0</v>
      </c>
      <c r="N136" t="n">
        <v>0</v>
      </c>
      <c r="O136" t="n">
        <v>2</v>
      </c>
      <c r="P136" s="7">
        <f>IF(SUM(H136:K136)=0,"",H136/SUM(H136:K136))</f>
        <v/>
      </c>
      <c r="Q136" s="7">
        <f>IF(SUM(H136:K136)=0,"",I136/SUM(H136:K136))</f>
        <v/>
      </c>
      <c r="R136" s="7">
        <f>IF(SUM(H136:K136)=0,"",J136/SUM(H136:K136))</f>
        <v/>
      </c>
      <c r="S136" s="7">
        <f>IF(SUM(H136:K136)=0,"",K136/SUM(H136:K136))</f>
        <v/>
      </c>
      <c r="T136" s="7">
        <f>IF(SUM(L136:O136)=0,"",L136/SUM(L136:O136))</f>
        <v/>
      </c>
      <c r="U136" s="7">
        <f>IF(SUM(L136:O136)=0,"",M136/SUM(L136:O136))</f>
        <v/>
      </c>
      <c r="V136" s="7">
        <f>IF(SUM(L136:O136)=0,"",N136/SUM(L136:O136))</f>
        <v/>
      </c>
      <c r="W136" s="7">
        <f>IF(SUM(L136:O136)=0,"",O136/SUM(L136:O136))</f>
        <v/>
      </c>
    </row>
    <row r="137">
      <c r="A137" t="n">
        <v>146</v>
      </c>
      <c r="B137" t="inlineStr">
        <is>
          <t>[community_foundation_tag] opened the door for us to think creatively and to build a partnership with the district that allowed us to double the amount of students, double the amount of schools, in the online space.'</t>
        </is>
      </c>
      <c r="C137" t="n">
        <v>1</v>
      </c>
      <c r="D137" t="n">
        <v>2</v>
      </c>
      <c r="E137" t="n">
        <v>0</v>
      </c>
      <c r="F137" t="n">
        <v>0</v>
      </c>
      <c r="G137" t="b">
        <v>1</v>
      </c>
      <c r="H137" t="n">
        <v>0</v>
      </c>
      <c r="I137" t="n">
        <v>0</v>
      </c>
      <c r="J137" t="n">
        <v>2</v>
      </c>
      <c r="K137" t="n">
        <v>0</v>
      </c>
      <c r="L137" t="n">
        <v>0</v>
      </c>
      <c r="M137" t="n">
        <v>0</v>
      </c>
      <c r="N137" t="n">
        <v>4</v>
      </c>
      <c r="O137" t="n">
        <v>2</v>
      </c>
      <c r="P137" s="7">
        <f>IF(SUM(H137:K137)=0,"",H137/SUM(H137:K137))</f>
        <v/>
      </c>
      <c r="Q137" s="7">
        <f>IF(SUM(H137:K137)=0,"",I137/SUM(H137:K137))</f>
        <v/>
      </c>
      <c r="R137" s="7">
        <f>IF(SUM(H137:K137)=0,"",J137/SUM(H137:K137))</f>
        <v/>
      </c>
      <c r="S137" s="7">
        <f>IF(SUM(H137:K137)=0,"",K137/SUM(H137:K137))</f>
        <v/>
      </c>
      <c r="T137" s="7">
        <f>IF(SUM(L137:O137)=0,"",L137/SUM(L137:O137))</f>
        <v/>
      </c>
      <c r="U137" s="7">
        <f>IF(SUM(L137:O137)=0,"",M137/SUM(L137:O137))</f>
        <v/>
      </c>
      <c r="V137" s="7">
        <f>IF(SUM(L137:O137)=0,"",N137/SUM(L137:O137))</f>
        <v/>
      </c>
      <c r="W137" s="7">
        <f>IF(SUM(L137:O137)=0,"",O137/SUM(L137:O137))</f>
        <v/>
      </c>
    </row>
    <row r="138">
      <c r="A138" t="n">
        <v>148</v>
      </c>
      <c r="B138" t="inlineStr">
        <is>
          <t>' Each morning the kids come in around eight o'clock, have breakfast.</t>
        </is>
      </c>
      <c r="C138" t="n">
        <v>0</v>
      </c>
      <c r="D138" t="n">
        <v>1</v>
      </c>
      <c r="E138" t="n">
        <v>0</v>
      </c>
      <c r="F138" t="n">
        <v>0</v>
      </c>
      <c r="G138" t="b">
        <v>0</v>
      </c>
      <c r="H138" t="n">
        <v>0</v>
      </c>
      <c r="I138" t="n">
        <v>0</v>
      </c>
      <c r="J138" t="n">
        <v>0</v>
      </c>
      <c r="K138" t="n">
        <v>0</v>
      </c>
      <c r="L138" t="n">
        <v>2</v>
      </c>
      <c r="M138" t="n">
        <v>0</v>
      </c>
      <c r="N138" t="n">
        <v>0</v>
      </c>
      <c r="O138" t="n">
        <v>1</v>
      </c>
      <c r="P138" s="7">
        <f>IF(SUM(H138:K138)=0,"",H138/SUM(H138:K138))</f>
        <v/>
      </c>
      <c r="Q138" s="7">
        <f>IF(SUM(H138:K138)=0,"",I138/SUM(H138:K138))</f>
        <v/>
      </c>
      <c r="R138" s="7">
        <f>IF(SUM(H138:K138)=0,"",J138/SUM(H138:K138))</f>
        <v/>
      </c>
      <c r="S138" s="7">
        <f>IF(SUM(H138:K138)=0,"",K138/SUM(H138:K138))</f>
        <v/>
      </c>
      <c r="T138" s="7">
        <f>IF(SUM(L138:O138)=0,"",L138/SUM(L138:O138))</f>
        <v/>
      </c>
      <c r="U138" s="7">
        <f>IF(SUM(L138:O138)=0,"",M138/SUM(L138:O138))</f>
        <v/>
      </c>
      <c r="V138" s="7">
        <f>IF(SUM(L138:O138)=0,"",N138/SUM(L138:O138))</f>
        <v/>
      </c>
      <c r="W138" s="7">
        <f>IF(SUM(L138:O138)=0,"",O138/SUM(L138:O138))</f>
        <v/>
      </c>
    </row>
    <row r="139">
      <c r="A139" t="n">
        <v>149</v>
      </c>
      <c r="B139" t="inlineStr">
        <is>
          <t>After they eat, I usually ask them if they have homework, and we get them some homework support. If they don't have homework, we have a book cart with tons of amazing books on there. I have an amazing group of students who love to read, so they run towards the book cart, and they grab a book. Every morning we're giving some nutrition, some reading time to work our brains, and then having a ton of fun.</t>
        </is>
      </c>
      <c r="C139" t="n">
        <v>0</v>
      </c>
      <c r="D139" t="n">
        <v>1</v>
      </c>
      <c r="E139" t="n">
        <v>0</v>
      </c>
      <c r="F139" t="n">
        <v>0</v>
      </c>
      <c r="G139" t="b">
        <v>0</v>
      </c>
      <c r="H139" t="n">
        <v>0</v>
      </c>
      <c r="I139" t="n">
        <v>0</v>
      </c>
      <c r="J139" t="n">
        <v>0</v>
      </c>
      <c r="K139" t="n">
        <v>0</v>
      </c>
      <c r="L139" t="n">
        <v>2</v>
      </c>
      <c r="M139" t="n">
        <v>0</v>
      </c>
      <c r="N139" t="n">
        <v>0</v>
      </c>
      <c r="O139" t="n">
        <v>1</v>
      </c>
      <c r="P139" s="7">
        <f>IF(SUM(H139:K139)=0,"",H139/SUM(H139:K139))</f>
        <v/>
      </c>
      <c r="Q139" s="7">
        <f>IF(SUM(H139:K139)=0,"",I139/SUM(H139:K139))</f>
        <v/>
      </c>
      <c r="R139" s="7">
        <f>IF(SUM(H139:K139)=0,"",J139/SUM(H139:K139))</f>
        <v/>
      </c>
      <c r="S139" s="7">
        <f>IF(SUM(H139:K139)=0,"",K139/SUM(H139:K139))</f>
        <v/>
      </c>
      <c r="T139" s="7">
        <f>IF(SUM(L139:O139)=0,"",L139/SUM(L139:O139))</f>
        <v/>
      </c>
      <c r="U139" s="7">
        <f>IF(SUM(L139:O139)=0,"",M139/SUM(L139:O139))</f>
        <v/>
      </c>
      <c r="V139" s="7">
        <f>IF(SUM(L139:O139)=0,"",N139/SUM(L139:O139))</f>
        <v/>
      </c>
      <c r="W139" s="7">
        <f>IF(SUM(L139:O139)=0,"",O139/SUM(L139:O139))</f>
        <v/>
      </c>
    </row>
    <row r="140">
      <c r="A140" t="n">
        <v>150</v>
      </c>
      <c r="B140" t="inlineStr">
        <is>
          <t>I think the biggest part is making sure the students know that they're loved and supported.</t>
        </is>
      </c>
      <c r="C140" t="n">
        <v>0</v>
      </c>
      <c r="D140" t="n">
        <v>1</v>
      </c>
      <c r="E140" t="n">
        <v>0</v>
      </c>
      <c r="F140" t="n">
        <v>0</v>
      </c>
      <c r="G140" t="b">
        <v>0</v>
      </c>
      <c r="H140" t="n">
        <v>0</v>
      </c>
      <c r="I140" t="n">
        <v>0</v>
      </c>
      <c r="J140" t="n">
        <v>0</v>
      </c>
      <c r="K140" t="n">
        <v>0</v>
      </c>
      <c r="L140" t="n">
        <v>2</v>
      </c>
      <c r="M140" t="n">
        <v>0</v>
      </c>
      <c r="N140" t="n">
        <v>0</v>
      </c>
      <c r="O140" t="n">
        <v>1</v>
      </c>
      <c r="P140" s="7">
        <f>IF(SUM(H140:K140)=0,"",H140/SUM(H140:K140))</f>
        <v/>
      </c>
      <c r="Q140" s="7">
        <f>IF(SUM(H140:K140)=0,"",I140/SUM(H140:K140))</f>
        <v/>
      </c>
      <c r="R140" s="7">
        <f>IF(SUM(H140:K140)=0,"",J140/SUM(H140:K140))</f>
        <v/>
      </c>
      <c r="S140" s="7">
        <f>IF(SUM(H140:K140)=0,"",K140/SUM(H140:K140))</f>
        <v/>
      </c>
      <c r="T140" s="7">
        <f>IF(SUM(L140:O140)=0,"",L140/SUM(L140:O140))</f>
        <v/>
      </c>
      <c r="U140" s="7">
        <f>IF(SUM(L140:O140)=0,"",M140/SUM(L140:O140))</f>
        <v/>
      </c>
      <c r="V140" s="7">
        <f>IF(SUM(L140:O140)=0,"",N140/SUM(L140:O140))</f>
        <v/>
      </c>
      <c r="W140" s="7">
        <f>IF(SUM(L140:O140)=0,"",O140/SUM(L140:O140))</f>
        <v/>
      </c>
    </row>
    <row r="141">
      <c r="A141" t="n">
        <v>151</v>
      </c>
      <c r="B141" t="inlineStr">
        <is>
          <t>I always remind them that seeing them is the best part of my day and starting my mornings with them is amazing- all their energy, all their sweetness is amazing to absorb every morning.</t>
        </is>
      </c>
      <c r="C141" t="n">
        <v>0</v>
      </c>
      <c r="D141" t="n">
        <v>0</v>
      </c>
      <c r="E141" t="n">
        <v>0</v>
      </c>
      <c r="F141" t="n">
        <v>0</v>
      </c>
      <c r="G141" t="b">
        <v>0</v>
      </c>
      <c r="H141" t="n">
        <v>0</v>
      </c>
      <c r="I141" t="n">
        <v>0</v>
      </c>
      <c r="J141" t="n">
        <v>0</v>
      </c>
      <c r="K141" t="n">
        <v>0</v>
      </c>
      <c r="L141" t="n">
        <v>0</v>
      </c>
      <c r="M141" t="n">
        <v>0</v>
      </c>
      <c r="N141" t="n">
        <v>0</v>
      </c>
      <c r="O141" t="n">
        <v>0</v>
      </c>
      <c r="P141" s="7">
        <f>IF(SUM(H141:K141)=0,"",H141/SUM(H141:K141))</f>
        <v/>
      </c>
      <c r="Q141" s="7">
        <f>IF(SUM(H141:K141)=0,"",I141/SUM(H141:K141))</f>
        <v/>
      </c>
      <c r="R141" s="7">
        <f>IF(SUM(H141:K141)=0,"",J141/SUM(H141:K141))</f>
        <v/>
      </c>
      <c r="S141" s="7">
        <f>IF(SUM(H141:K141)=0,"",K141/SUM(H141:K141))</f>
        <v/>
      </c>
      <c r="T141" s="7">
        <f>IF(SUM(L141:O141)=0,"",L141/SUM(L141:O141))</f>
        <v/>
      </c>
      <c r="U141" s="7">
        <f>IF(SUM(L141:O141)=0,"",M141/SUM(L141:O141))</f>
        <v/>
      </c>
      <c r="V141" s="7">
        <f>IF(SUM(L141:O141)=0,"",N141/SUM(L141:O141))</f>
        <v/>
      </c>
      <c r="W141" s="7">
        <f>IF(SUM(L141:O141)=0,"",O141/SUM(L141:O141))</f>
        <v/>
      </c>
    </row>
    <row r="142">
      <c r="A142" t="n">
        <v>152</v>
      </c>
      <c r="B142" t="inlineStr">
        <is>
          <t>We have community volunteers-people who live in the neighborhood, retired teachers, parents in the communitywho want to be a part of Books and Breakfast.</t>
        </is>
      </c>
      <c r="C142" t="n">
        <v>1</v>
      </c>
      <c r="D142" t="n">
        <v>2</v>
      </c>
      <c r="E142" t="n">
        <v>0</v>
      </c>
      <c r="F142" t="n">
        <v>0</v>
      </c>
      <c r="G142" t="b">
        <v>1</v>
      </c>
      <c r="H142" t="n">
        <v>2</v>
      </c>
      <c r="I142" t="n">
        <v>0</v>
      </c>
      <c r="J142" t="n">
        <v>0</v>
      </c>
      <c r="K142" t="n">
        <v>0</v>
      </c>
      <c r="L142" t="n">
        <v>4</v>
      </c>
      <c r="M142" t="n">
        <v>0</v>
      </c>
      <c r="N142" t="n">
        <v>2</v>
      </c>
      <c r="O142" t="n">
        <v>0</v>
      </c>
      <c r="P142" s="7">
        <f>IF(SUM(H142:K142)=0,"",H142/SUM(H142:K142))</f>
        <v/>
      </c>
      <c r="Q142" s="7">
        <f>IF(SUM(H142:K142)=0,"",I142/SUM(H142:K142))</f>
        <v/>
      </c>
      <c r="R142" s="7">
        <f>IF(SUM(H142:K142)=0,"",J142/SUM(H142:K142))</f>
        <v/>
      </c>
      <c r="S142" s="7">
        <f>IF(SUM(H142:K142)=0,"",K142/SUM(H142:K142))</f>
        <v/>
      </c>
      <c r="T142" s="7">
        <f>IF(SUM(L142:O142)=0,"",L142/SUM(L142:O142))</f>
        <v/>
      </c>
      <c r="U142" s="7">
        <f>IF(SUM(L142:O142)=0,"",M142/SUM(L142:O142))</f>
        <v/>
      </c>
      <c r="V142" s="7">
        <f>IF(SUM(L142:O142)=0,"",N142/SUM(L142:O142))</f>
        <v/>
      </c>
      <c r="W142" s="7">
        <f>IF(SUM(L142:O142)=0,"",O142/SUM(L142:O142))</f>
        <v/>
      </c>
    </row>
    <row r="143">
      <c r="A143" t="n">
        <v>153</v>
      </c>
      <c r="B143" t="inlineStr">
        <is>
          <t>This wouldn't be possible without the community's support and everybody coming together. It is quite amazing to see how much support we get, but also how much we are able to give back to the community.'</t>
        </is>
      </c>
      <c r="C143" t="n">
        <v>1</v>
      </c>
      <c r="D143" t="n">
        <v>2</v>
      </c>
      <c r="E143" t="n">
        <v>0</v>
      </c>
      <c r="F143" t="n">
        <v>0</v>
      </c>
      <c r="G143" t="b">
        <v>1</v>
      </c>
      <c r="H143" t="n">
        <v>2</v>
      </c>
      <c r="I143" t="n">
        <v>0</v>
      </c>
      <c r="J143" t="n">
        <v>0</v>
      </c>
      <c r="K143" t="n">
        <v>0</v>
      </c>
      <c r="L143" t="n">
        <v>4</v>
      </c>
      <c r="M143" t="n">
        <v>0</v>
      </c>
      <c r="N143" t="n">
        <v>2</v>
      </c>
      <c r="O143" t="n">
        <v>0</v>
      </c>
      <c r="P143" s="7">
        <f>IF(SUM(H143:K143)=0,"",H143/SUM(H143:K143))</f>
        <v/>
      </c>
      <c r="Q143" s="7">
        <f>IF(SUM(H143:K143)=0,"",I143/SUM(H143:K143))</f>
        <v/>
      </c>
      <c r="R143" s="7">
        <f>IF(SUM(H143:K143)=0,"",J143/SUM(H143:K143))</f>
        <v/>
      </c>
      <c r="S143" s="7">
        <f>IF(SUM(H143:K143)=0,"",K143/SUM(H143:K143))</f>
        <v/>
      </c>
      <c r="T143" s="7">
        <f>IF(SUM(L143:O143)=0,"",L143/SUM(L143:O143))</f>
        <v/>
      </c>
      <c r="U143" s="7">
        <f>IF(SUM(L143:O143)=0,"",M143/SUM(L143:O143))</f>
        <v/>
      </c>
      <c r="V143" s="7">
        <f>IF(SUM(L143:O143)=0,"",N143/SUM(L143:O143))</f>
        <v/>
      </c>
      <c r="W143" s="7">
        <f>IF(SUM(L143:O143)=0,"",O143/SUM(L143:O143))</f>
        <v/>
      </c>
    </row>
    <row r="144">
      <c r="A144" t="n">
        <v>154</v>
      </c>
      <c r="B144" t="inlineStr">
        <is>
          <t>'Access to information is fundamental for a fair and just society and necessary for individuals, families, and communities to thrive.</t>
        </is>
      </c>
      <c r="C144" t="n">
        <v>1</v>
      </c>
      <c r="D144" t="n">
        <v>1</v>
      </c>
      <c r="E144" t="n">
        <v>0</v>
      </c>
      <c r="F144" t="n">
        <v>0</v>
      </c>
      <c r="G144" t="b">
        <v>1</v>
      </c>
      <c r="H144" t="n">
        <v>0</v>
      </c>
      <c r="I144" t="n">
        <v>0</v>
      </c>
      <c r="J144" t="n">
        <v>0</v>
      </c>
      <c r="K144" t="n">
        <v>2</v>
      </c>
      <c r="L144" t="n">
        <v>0</v>
      </c>
      <c r="M144" t="n">
        <v>0</v>
      </c>
      <c r="N144" t="n">
        <v>1</v>
      </c>
      <c r="O144" t="n">
        <v>2</v>
      </c>
      <c r="P144" s="7">
        <f>IF(SUM(H144:K144)=0,"",H144/SUM(H144:K144))</f>
        <v/>
      </c>
      <c r="Q144" s="7">
        <f>IF(SUM(H144:K144)=0,"",I144/SUM(H144:K144))</f>
        <v/>
      </c>
      <c r="R144" s="7">
        <f>IF(SUM(H144:K144)=0,"",J144/SUM(H144:K144))</f>
        <v/>
      </c>
      <c r="S144" s="7">
        <f>IF(SUM(H144:K144)=0,"",K144/SUM(H144:K144))</f>
        <v/>
      </c>
      <c r="T144" s="7">
        <f>IF(SUM(L144:O144)=0,"",L144/SUM(L144:O144))</f>
        <v/>
      </c>
      <c r="U144" s="7">
        <f>IF(SUM(L144:O144)=0,"",M144/SUM(L144:O144))</f>
        <v/>
      </c>
      <c r="V144" s="7">
        <f>IF(SUM(L144:O144)=0,"",N144/SUM(L144:O144))</f>
        <v/>
      </c>
      <c r="W144" s="7">
        <f>IF(SUM(L144:O144)=0,"",O144/SUM(L144:O144))</f>
        <v/>
      </c>
    </row>
    <row r="145">
      <c r="A145" t="n">
        <v>155</v>
      </c>
      <c r="B145" t="inlineStr">
        <is>
          <t>We help people access the information they need by making clear, understandable, human-centered communication the norm in mission-driven work.'</t>
        </is>
      </c>
      <c r="C145" t="n">
        <v>0</v>
      </c>
      <c r="D145" t="n">
        <v>1</v>
      </c>
      <c r="E145" t="n">
        <v>0</v>
      </c>
      <c r="F145" t="n">
        <v>0</v>
      </c>
      <c r="G145" t="b">
        <v>0</v>
      </c>
      <c r="H145" t="n">
        <v>0</v>
      </c>
      <c r="I145" t="n">
        <v>0</v>
      </c>
      <c r="J145" t="n">
        <v>0</v>
      </c>
      <c r="K145" t="n">
        <v>0</v>
      </c>
      <c r="L145" t="n">
        <v>0</v>
      </c>
      <c r="M145" t="n">
        <v>0</v>
      </c>
      <c r="N145" t="n">
        <v>1</v>
      </c>
      <c r="O145" t="n">
        <v>2</v>
      </c>
      <c r="P145" s="7">
        <f>IF(SUM(H145:K145)=0,"",H145/SUM(H145:K145))</f>
        <v/>
      </c>
      <c r="Q145" s="7">
        <f>IF(SUM(H145:K145)=0,"",I145/SUM(H145:K145))</f>
        <v/>
      </c>
      <c r="R145" s="7">
        <f>IF(SUM(H145:K145)=0,"",J145/SUM(H145:K145))</f>
        <v/>
      </c>
      <c r="S145" s="7">
        <f>IF(SUM(H145:K145)=0,"",K145/SUM(H145:K145))</f>
        <v/>
      </c>
      <c r="T145" s="7">
        <f>IF(SUM(L145:O145)=0,"",L145/SUM(L145:O145))</f>
        <v/>
      </c>
      <c r="U145" s="7">
        <f>IF(SUM(L145:O145)=0,"",M145/SUM(L145:O145))</f>
        <v/>
      </c>
      <c r="V145" s="7">
        <f>IF(SUM(L145:O145)=0,"",N145/SUM(L145:O145))</f>
        <v/>
      </c>
      <c r="W145" s="7">
        <f>IF(SUM(L145:O145)=0,"",O145/SUM(L145:O145))</f>
        <v/>
      </c>
    </row>
    <row r="146">
      <c r="A146" t="n">
        <v>157</v>
      </c>
      <c r="B146" t="inlineStr">
        <is>
          <t>Clear Language Lab Program Director, Literacy Works</t>
        </is>
      </c>
      <c r="C146" t="n">
        <v>0</v>
      </c>
      <c r="D146" t="n">
        <v>1</v>
      </c>
      <c r="E146" t="n">
        <v>0</v>
      </c>
      <c r="F146" t="n">
        <v>0</v>
      </c>
      <c r="G146" t="b">
        <v>0</v>
      </c>
      <c r="H146" t="n">
        <v>0</v>
      </c>
      <c r="I146" t="n">
        <v>0</v>
      </c>
      <c r="J146" t="n">
        <v>0</v>
      </c>
      <c r="K146" t="n">
        <v>0</v>
      </c>
      <c r="L146" t="n">
        <v>0</v>
      </c>
      <c r="M146" t="n">
        <v>0</v>
      </c>
      <c r="N146" t="n">
        <v>1</v>
      </c>
      <c r="O146" t="n">
        <v>2</v>
      </c>
      <c r="P146" s="7">
        <f>IF(SUM(H146:K146)=0,"",H146/SUM(H146:K146))</f>
        <v/>
      </c>
      <c r="Q146" s="7">
        <f>IF(SUM(H146:K146)=0,"",I146/SUM(H146:K146))</f>
        <v/>
      </c>
      <c r="R146" s="7">
        <f>IF(SUM(H146:K146)=0,"",J146/SUM(H146:K146))</f>
        <v/>
      </c>
      <c r="S146" s="7">
        <f>IF(SUM(H146:K146)=0,"",K146/SUM(H146:K146))</f>
        <v/>
      </c>
      <c r="T146" s="7">
        <f>IF(SUM(L146:O146)=0,"",L146/SUM(L146:O146))</f>
        <v/>
      </c>
      <c r="U146" s="7">
        <f>IF(SUM(L146:O146)=0,"",M146/SUM(L146:O146))</f>
        <v/>
      </c>
      <c r="V146" s="7">
        <f>IF(SUM(L146:O146)=0,"",N146/SUM(L146:O146))</f>
        <v/>
      </c>
      <c r="W146" s="7">
        <f>IF(SUM(L146:O146)=0,"",O146/SUM(L146:O146))</f>
        <v/>
      </c>
    </row>
    <row r="147">
      <c r="A147" t="n">
        <v>158</v>
      </c>
      <c r="B147" t="inlineStr">
        <is>
          <t>Collective and enduring initiatives: making the work more accessible</t>
        </is>
      </c>
      <c r="C147" t="n">
        <v>1</v>
      </c>
      <c r="D147" t="n">
        <v>0</v>
      </c>
      <c r="E147" t="n">
        <v>0</v>
      </c>
      <c r="F147" t="n">
        <v>0</v>
      </c>
      <c r="G147" t="b">
        <v>0</v>
      </c>
      <c r="H147" t="n">
        <v>0</v>
      </c>
      <c r="I147" t="n">
        <v>0</v>
      </c>
      <c r="J147" t="n">
        <v>0</v>
      </c>
      <c r="K147" t="n">
        <v>2</v>
      </c>
      <c r="L147" t="n">
        <v>0</v>
      </c>
      <c r="M147" t="n">
        <v>0</v>
      </c>
      <c r="N147" t="n">
        <v>0</v>
      </c>
      <c r="O147" t="n">
        <v>0</v>
      </c>
      <c r="P147" s="7">
        <f>IF(SUM(H147:K147)=0,"",H147/SUM(H147:K147))</f>
        <v/>
      </c>
      <c r="Q147" s="7">
        <f>IF(SUM(H147:K147)=0,"",I147/SUM(H147:K147))</f>
        <v/>
      </c>
      <c r="R147" s="7">
        <f>IF(SUM(H147:K147)=0,"",J147/SUM(H147:K147))</f>
        <v/>
      </c>
      <c r="S147" s="7">
        <f>IF(SUM(H147:K147)=0,"",K147/SUM(H147:K147))</f>
        <v/>
      </c>
      <c r="T147" s="7">
        <f>IF(SUM(L147:O147)=0,"",L147/SUM(L147:O147))</f>
        <v/>
      </c>
      <c r="U147" s="7">
        <f>IF(SUM(L147:O147)=0,"",M147/SUM(L147:O147))</f>
        <v/>
      </c>
      <c r="V147" s="7">
        <f>IF(SUM(L147:O147)=0,"",N147/SUM(L147:O147))</f>
        <v/>
      </c>
      <c r="W147" s="7">
        <f>IF(SUM(L147:O147)=0,"",O147/SUM(L147:O147))</f>
        <v/>
      </c>
    </row>
    <row r="148">
      <c r="A148" t="n">
        <v>159</v>
      </c>
      <c r="B148" t="inlineStr">
        <is>
          <t>[community_foundation_tag] helps to provide tools that break down barriers.</t>
        </is>
      </c>
      <c r="C148" t="n">
        <v>1</v>
      </c>
      <c r="D148" t="n">
        <v>1</v>
      </c>
      <c r="E148" t="n">
        <v>0</v>
      </c>
      <c r="F148" t="n">
        <v>0</v>
      </c>
      <c r="G148" t="b">
        <v>1</v>
      </c>
      <c r="H148" t="n">
        <v>0</v>
      </c>
      <c r="I148" t="n">
        <v>0</v>
      </c>
      <c r="J148" t="n">
        <v>1</v>
      </c>
      <c r="K148" t="n">
        <v>2</v>
      </c>
      <c r="L148" t="n">
        <v>0</v>
      </c>
      <c r="M148" t="n">
        <v>0</v>
      </c>
      <c r="N148" t="n">
        <v>1</v>
      </c>
      <c r="O148" t="n">
        <v>2</v>
      </c>
      <c r="P148" s="7">
        <f>IF(SUM(H148:K148)=0,"",H148/SUM(H148:K148))</f>
        <v/>
      </c>
      <c r="Q148" s="7">
        <f>IF(SUM(H148:K148)=0,"",I148/SUM(H148:K148))</f>
        <v/>
      </c>
      <c r="R148" s="7">
        <f>IF(SUM(H148:K148)=0,"",J148/SUM(H148:K148))</f>
        <v/>
      </c>
      <c r="S148" s="7">
        <f>IF(SUM(H148:K148)=0,"",K148/SUM(H148:K148))</f>
        <v/>
      </c>
      <c r="T148" s="7">
        <f>IF(SUM(L148:O148)=0,"",L148/SUM(L148:O148))</f>
        <v/>
      </c>
      <c r="U148" s="7">
        <f>IF(SUM(L148:O148)=0,"",M148/SUM(L148:O148))</f>
        <v/>
      </c>
      <c r="V148" s="7">
        <f>IF(SUM(L148:O148)=0,"",N148/SUM(L148:O148))</f>
        <v/>
      </c>
      <c r="W148" s="7">
        <f>IF(SUM(L148:O148)=0,"",O148/SUM(L148:O148))</f>
        <v/>
      </c>
    </row>
    <row r="149">
      <c r="A149" t="n">
        <v>160</v>
      </c>
      <c r="B149" t="inlineStr">
        <is>
          <t>[community_foundation_tag] partnership with the Clear Language Lab at Literacy Works makes [community_foundation_tag] communications more accessible, as well as those of other nonprofit organizations.</t>
        </is>
      </c>
      <c r="C149" t="n">
        <v>1</v>
      </c>
      <c r="D149" t="n">
        <v>2</v>
      </c>
      <c r="E149" t="n">
        <v>0</v>
      </c>
      <c r="F149" t="n">
        <v>0</v>
      </c>
      <c r="G149" t="b">
        <v>1</v>
      </c>
      <c r="H149" t="n">
        <v>0</v>
      </c>
      <c r="I149" t="n">
        <v>0</v>
      </c>
      <c r="J149" t="n">
        <v>1</v>
      </c>
      <c r="K149" t="n">
        <v>2</v>
      </c>
      <c r="L149" t="n">
        <v>0</v>
      </c>
      <c r="M149" t="n">
        <v>0</v>
      </c>
      <c r="N149" t="n">
        <v>4</v>
      </c>
      <c r="O149" t="n">
        <v>2</v>
      </c>
      <c r="P149" s="7">
        <f>IF(SUM(H149:K149)=0,"",H149/SUM(H149:K149))</f>
        <v/>
      </c>
      <c r="Q149" s="7">
        <f>IF(SUM(H149:K149)=0,"",I149/SUM(H149:K149))</f>
        <v/>
      </c>
      <c r="R149" s="7">
        <f>IF(SUM(H149:K149)=0,"",J149/SUM(H149:K149))</f>
        <v/>
      </c>
      <c r="S149" s="7">
        <f>IF(SUM(H149:K149)=0,"",K149/SUM(H149:K149))</f>
        <v/>
      </c>
      <c r="T149" s="7">
        <f>IF(SUM(L149:O149)=0,"",L149/SUM(L149:O149))</f>
        <v/>
      </c>
      <c r="U149" s="7">
        <f>IF(SUM(L149:O149)=0,"",M149/SUM(L149:O149))</f>
        <v/>
      </c>
      <c r="V149" s="7">
        <f>IF(SUM(L149:O149)=0,"",N149/SUM(L149:O149))</f>
        <v/>
      </c>
      <c r="W149" s="7">
        <f>IF(SUM(L149:O149)=0,"",O149/SUM(L149:O149))</f>
        <v/>
      </c>
    </row>
    <row r="150">
      <c r="A150" t="n">
        <v>161</v>
      </c>
      <c r="B150" t="inlineStr">
        <is>
          <t>Many nonprofit organizations and government agencies offer great resources, but all too often, the language used to provide information is a barrier that prevents people from accessing those resources.</t>
        </is>
      </c>
      <c r="C150" t="n">
        <v>0</v>
      </c>
      <c r="D150" t="n">
        <v>0</v>
      </c>
      <c r="E150" t="n">
        <v>0</v>
      </c>
      <c r="F150" t="n">
        <v>0</v>
      </c>
      <c r="G150" t="b">
        <v>0</v>
      </c>
      <c r="H150" t="n">
        <v>0</v>
      </c>
      <c r="I150" t="n">
        <v>0</v>
      </c>
      <c r="J150" t="n">
        <v>0</v>
      </c>
      <c r="K150" t="n">
        <v>0</v>
      </c>
      <c r="L150" t="n">
        <v>0</v>
      </c>
      <c r="M150" t="n">
        <v>0</v>
      </c>
      <c r="N150" t="n">
        <v>0</v>
      </c>
      <c r="O150" t="n">
        <v>0</v>
      </c>
      <c r="P150" s="7">
        <f>IF(SUM(H150:K150)=0,"",H150/SUM(H150:K150))</f>
        <v/>
      </c>
      <c r="Q150" s="7">
        <f>IF(SUM(H150:K150)=0,"",I150/SUM(H150:K150))</f>
        <v/>
      </c>
      <c r="R150" s="7">
        <f>IF(SUM(H150:K150)=0,"",J150/SUM(H150:K150))</f>
        <v/>
      </c>
      <c r="S150" s="7">
        <f>IF(SUM(H150:K150)=0,"",K150/SUM(H150:K150))</f>
        <v/>
      </c>
      <c r="T150" s="7">
        <f>IF(SUM(L150:O150)=0,"",L150/SUM(L150:O150))</f>
        <v/>
      </c>
      <c r="U150" s="7">
        <f>IF(SUM(L150:O150)=0,"",M150/SUM(L150:O150))</f>
        <v/>
      </c>
      <c r="V150" s="7">
        <f>IF(SUM(L150:O150)=0,"",N150/SUM(L150:O150))</f>
        <v/>
      </c>
      <c r="W150" s="7">
        <f>IF(SUM(L150:O150)=0,"",O150/SUM(L150:O150))</f>
        <v/>
      </c>
    </row>
    <row r="151">
      <c r="A151" t="n">
        <v>162</v>
      </c>
      <c r="B151" t="inlineStr">
        <is>
          <t>[community_foundation_tag] has been working with the Clear Language Lab at Literacy Works for the last two years to help take those barriers down.</t>
        </is>
      </c>
      <c r="C151" t="n">
        <v>1</v>
      </c>
      <c r="D151" t="n">
        <v>2</v>
      </c>
      <c r="E151" t="n">
        <v>0</v>
      </c>
      <c r="F151" t="n">
        <v>0</v>
      </c>
      <c r="G151" t="b">
        <v>1</v>
      </c>
      <c r="H151" t="n">
        <v>0</v>
      </c>
      <c r="I151" t="n">
        <v>0</v>
      </c>
      <c r="J151" t="n">
        <v>1</v>
      </c>
      <c r="K151" t="n">
        <v>2</v>
      </c>
      <c r="L151" t="n">
        <v>0</v>
      </c>
      <c r="M151" t="n">
        <v>0</v>
      </c>
      <c r="N151" t="n">
        <v>4</v>
      </c>
      <c r="O151" t="n">
        <v>2</v>
      </c>
      <c r="P151" s="7">
        <f>IF(SUM(H151:K151)=0,"",H151/SUM(H151:K151))</f>
        <v/>
      </c>
      <c r="Q151" s="7">
        <f>IF(SUM(H151:K151)=0,"",I151/SUM(H151:K151))</f>
        <v/>
      </c>
      <c r="R151" s="7">
        <f>IF(SUM(H151:K151)=0,"",J151/SUM(H151:K151))</f>
        <v/>
      </c>
      <c r="S151" s="7">
        <f>IF(SUM(H151:K151)=0,"",K151/SUM(H151:K151))</f>
        <v/>
      </c>
      <c r="T151" s="7">
        <f>IF(SUM(L151:O151)=0,"",L151/SUM(L151:O151))</f>
        <v/>
      </c>
      <c r="U151" s="7">
        <f>IF(SUM(L151:O151)=0,"",M151/SUM(L151:O151))</f>
        <v/>
      </c>
      <c r="V151" s="7">
        <f>IF(SUM(L151:O151)=0,"",N151/SUM(L151:O151))</f>
        <v/>
      </c>
      <c r="W151" s="7">
        <f>IF(SUM(L151:O151)=0,"",O151/SUM(L151:O151))</f>
        <v/>
      </c>
    </row>
    <row r="152">
      <c r="A152" t="n">
        <v>163</v>
      </c>
      <c r="B152" t="inlineStr">
        <is>
          <t>The Clear Language Lab provides training and consultation to nonprofits, government agencies, and other entities to serve their communities more effectively and equitably by using plain language.</t>
        </is>
      </c>
      <c r="C152" t="n">
        <v>1</v>
      </c>
      <c r="D152" t="n">
        <v>1</v>
      </c>
      <c r="E152" t="n">
        <v>0</v>
      </c>
      <c r="F152" t="n">
        <v>0</v>
      </c>
      <c r="G152" t="b">
        <v>1</v>
      </c>
      <c r="H152" t="n">
        <v>0</v>
      </c>
      <c r="I152" t="n">
        <v>0</v>
      </c>
      <c r="J152" t="n">
        <v>1</v>
      </c>
      <c r="K152" t="n">
        <v>2</v>
      </c>
      <c r="L152" t="n">
        <v>0</v>
      </c>
      <c r="M152" t="n">
        <v>0</v>
      </c>
      <c r="N152" t="n">
        <v>2</v>
      </c>
      <c r="O152" t="n">
        <v>1</v>
      </c>
      <c r="P152" s="7">
        <f>IF(SUM(H152:K152)=0,"",H152/SUM(H152:K152))</f>
        <v/>
      </c>
      <c r="Q152" s="7">
        <f>IF(SUM(H152:K152)=0,"",I152/SUM(H152:K152))</f>
        <v/>
      </c>
      <c r="R152" s="7">
        <f>IF(SUM(H152:K152)=0,"",J152/SUM(H152:K152))</f>
        <v/>
      </c>
      <c r="S152" s="7">
        <f>IF(SUM(H152:K152)=0,"",K152/SUM(H152:K152))</f>
        <v/>
      </c>
      <c r="T152" s="7">
        <f>IF(SUM(L152:O152)=0,"",L152/SUM(L152:O152))</f>
        <v/>
      </c>
      <c r="U152" s="7">
        <f>IF(SUM(L152:O152)=0,"",M152/SUM(L152:O152))</f>
        <v/>
      </c>
      <c r="V152" s="7">
        <f>IF(SUM(L152:O152)=0,"",N152/SUM(L152:O152))</f>
        <v/>
      </c>
      <c r="W152" s="7">
        <f>IF(SUM(L152:O152)=0,"",O152/SUM(L152:O152))</f>
        <v/>
      </c>
    </row>
    <row r="153">
      <c r="A153" t="n">
        <v>164</v>
      </c>
      <c r="B153" t="inlineStr">
        <is>
          <t>In 2021, [community_foundation_tag] partnered with the Clear Language Lab to provide training and coaching for nonprofit organizations to use clear and concise language, making their communications more accessible to community members.</t>
        </is>
      </c>
      <c r="C153" t="n">
        <v>1</v>
      </c>
      <c r="D153" t="n">
        <v>2</v>
      </c>
      <c r="E153" t="n">
        <v>0</v>
      </c>
      <c r="F153" t="n">
        <v>0</v>
      </c>
      <c r="G153" t="b">
        <v>1</v>
      </c>
      <c r="H153" t="n">
        <v>0</v>
      </c>
      <c r="I153" t="n">
        <v>0</v>
      </c>
      <c r="J153" t="n">
        <v>1</v>
      </c>
      <c r="K153" t="n">
        <v>2</v>
      </c>
      <c r="L153" t="n">
        <v>0</v>
      </c>
      <c r="M153" t="n">
        <v>0</v>
      </c>
      <c r="N153" t="n">
        <v>4</v>
      </c>
      <c r="O153" t="n">
        <v>2</v>
      </c>
      <c r="P153" s="7">
        <f>IF(SUM(H153:K153)=0,"",H153/SUM(H153:K153))</f>
        <v/>
      </c>
      <c r="Q153" s="7">
        <f>IF(SUM(H153:K153)=0,"",I153/SUM(H153:K153))</f>
        <v/>
      </c>
      <c r="R153" s="7">
        <f>IF(SUM(H153:K153)=0,"",J153/SUM(H153:K153))</f>
        <v/>
      </c>
      <c r="S153" s="7">
        <f>IF(SUM(H153:K153)=0,"",K153/SUM(H153:K153))</f>
        <v/>
      </c>
      <c r="T153" s="7">
        <f>IF(SUM(L153:O153)=0,"",L153/SUM(L153:O153))</f>
        <v/>
      </c>
      <c r="U153" s="7">
        <f>IF(SUM(L153:O153)=0,"",M153/SUM(L153:O153))</f>
        <v/>
      </c>
      <c r="V153" s="7">
        <f>IF(SUM(L153:O153)=0,"",N153/SUM(L153:O153))</f>
        <v/>
      </c>
      <c r="W153" s="7">
        <f>IF(SUM(L153:O153)=0,"",O153/SUM(L153:O153))</f>
        <v/>
      </c>
    </row>
    <row r="154">
      <c r="A154" t="n">
        <v>165</v>
      </c>
      <c r="B154" t="inlineStr">
        <is>
          <t>Many organizations were able to use these services, including providers of early childhood care and education, agencies serving youth, and [community_foundation_tag].</t>
        </is>
      </c>
      <c r="C154" t="n">
        <v>1</v>
      </c>
      <c r="D154" t="n">
        <v>1</v>
      </c>
      <c r="E154" t="n">
        <v>0</v>
      </c>
      <c r="F154" t="n">
        <v>0</v>
      </c>
      <c r="G154" t="b">
        <v>1</v>
      </c>
      <c r="H154" t="n">
        <v>0</v>
      </c>
      <c r="I154" t="n">
        <v>0</v>
      </c>
      <c r="J154" t="n">
        <v>0</v>
      </c>
      <c r="K154" t="n">
        <v>2</v>
      </c>
      <c r="L154" t="n">
        <v>0</v>
      </c>
      <c r="M154" t="n">
        <v>0</v>
      </c>
      <c r="N154" t="n">
        <v>2</v>
      </c>
      <c r="O154" t="n">
        <v>1</v>
      </c>
      <c r="P154" s="7">
        <f>IF(SUM(H154:K154)=0,"",H154/SUM(H154:K154))</f>
        <v/>
      </c>
      <c r="Q154" s="7">
        <f>IF(SUM(H154:K154)=0,"",I154/SUM(H154:K154))</f>
        <v/>
      </c>
      <c r="R154" s="7">
        <f>IF(SUM(H154:K154)=0,"",J154/SUM(H154:K154))</f>
        <v/>
      </c>
      <c r="S154" s="7">
        <f>IF(SUM(H154:K154)=0,"",K154/SUM(H154:K154))</f>
        <v/>
      </c>
      <c r="T154" s="7">
        <f>IF(SUM(L154:O154)=0,"",L154/SUM(L154:O154))</f>
        <v/>
      </c>
      <c r="U154" s="7">
        <f>IF(SUM(L154:O154)=0,"",M154/SUM(L154:O154))</f>
        <v/>
      </c>
      <c r="V154" s="7">
        <f>IF(SUM(L154:O154)=0,"",N154/SUM(L154:O154))</f>
        <v/>
      </c>
      <c r="W154" s="7">
        <f>IF(SUM(L154:O154)=0,"",O154/SUM(L154:O154))</f>
        <v/>
      </c>
    </row>
    <row r="155">
      <c r="A155" t="n">
        <v>166</v>
      </c>
      <c r="B155" t="inlineStr">
        <is>
          <t>For example, the Clear Language Lab at Literacy Works offered critical help in the development of language for new grantmaking processes at [community_foundation_tag].</t>
        </is>
      </c>
      <c r="C155" t="n">
        <v>1</v>
      </c>
      <c r="D155" t="n">
        <v>2</v>
      </c>
      <c r="E155" t="n">
        <v>0</v>
      </c>
      <c r="F155" t="n">
        <v>0</v>
      </c>
      <c r="G155" t="b">
        <v>1</v>
      </c>
      <c r="H155" t="n">
        <v>0</v>
      </c>
      <c r="I155" t="n">
        <v>0</v>
      </c>
      <c r="J155" t="n">
        <v>0</v>
      </c>
      <c r="K155" t="n">
        <v>2</v>
      </c>
      <c r="L155" t="n">
        <v>0</v>
      </c>
      <c r="M155" t="n">
        <v>0</v>
      </c>
      <c r="N155" t="n">
        <v>3</v>
      </c>
      <c r="O155" t="n">
        <v>3</v>
      </c>
      <c r="P155" s="7">
        <f>IF(SUM(H155:K155)=0,"",H155/SUM(H155:K155))</f>
        <v/>
      </c>
      <c r="Q155" s="7">
        <f>IF(SUM(H155:K155)=0,"",I155/SUM(H155:K155))</f>
        <v/>
      </c>
      <c r="R155" s="7">
        <f>IF(SUM(H155:K155)=0,"",J155/SUM(H155:K155))</f>
        <v/>
      </c>
      <c r="S155" s="7">
        <f>IF(SUM(H155:K155)=0,"",K155/SUM(H155:K155))</f>
        <v/>
      </c>
      <c r="T155" s="7">
        <f>IF(SUM(L155:O155)=0,"",L155/SUM(L155:O155))</f>
        <v/>
      </c>
      <c r="U155" s="7">
        <f>IF(SUM(L155:O155)=0,"",M155/SUM(L155:O155))</f>
        <v/>
      </c>
      <c r="V155" s="7">
        <f>IF(SUM(L155:O155)=0,"",N155/SUM(L155:O155))</f>
        <v/>
      </c>
      <c r="W155" s="7">
        <f>IF(SUM(L155:O155)=0,"",O155/SUM(L155:O155))</f>
        <v/>
      </c>
    </row>
    <row r="156">
      <c r="A156" t="n">
        <v>167</v>
      </c>
      <c r="B156" t="inlineStr">
        <is>
          <t>This collective and enduring initiative grant also gave nonprofit organizations free access to attend Clear Language Lab deep listening trainings, where they developed skills to evaluate and revise their communications.</t>
        </is>
      </c>
      <c r="C156" t="n">
        <v>1</v>
      </c>
      <c r="D156" t="n">
        <v>2</v>
      </c>
      <c r="E156" t="n">
        <v>0</v>
      </c>
      <c r="F156" t="n">
        <v>0</v>
      </c>
      <c r="G156" t="b">
        <v>1</v>
      </c>
      <c r="H156" t="n">
        <v>0</v>
      </c>
      <c r="I156" t="n">
        <v>0</v>
      </c>
      <c r="J156" t="n">
        <v>0</v>
      </c>
      <c r="K156" t="n">
        <v>2</v>
      </c>
      <c r="L156" t="n">
        <v>0</v>
      </c>
      <c r="M156" t="n">
        <v>0</v>
      </c>
      <c r="N156" t="n">
        <v>4</v>
      </c>
      <c r="O156" t="n">
        <v>2</v>
      </c>
      <c r="P156" s="7">
        <f>IF(SUM(H156:K156)=0,"",H156/SUM(H156:K156))</f>
        <v/>
      </c>
      <c r="Q156" s="7">
        <f>IF(SUM(H156:K156)=0,"",I156/SUM(H156:K156))</f>
        <v/>
      </c>
      <c r="R156" s="7">
        <f>IF(SUM(H156:K156)=0,"",J156/SUM(H156:K156))</f>
        <v/>
      </c>
      <c r="S156" s="7">
        <f>IF(SUM(H156:K156)=0,"",K156/SUM(H156:K156))</f>
        <v/>
      </c>
      <c r="T156" s="7">
        <f>IF(SUM(L156:O156)=0,"",L156/SUM(L156:O156))</f>
        <v/>
      </c>
      <c r="U156" s="7">
        <f>IF(SUM(L156:O156)=0,"",M156/SUM(L156:O156))</f>
        <v/>
      </c>
      <c r="V156" s="7">
        <f>IF(SUM(L156:O156)=0,"",N156/SUM(L156:O156))</f>
        <v/>
      </c>
      <c r="W156" s="7">
        <f>IF(SUM(L156:O156)=0,"",O156/SUM(L156:O156))</f>
        <v/>
      </c>
    </row>
    <row r="157">
      <c r="A157" t="n">
        <v>168</v>
      </c>
      <c r="B157" t="inlineStr">
        <is>
          <t>This work is having a profound impact on [community_foundation_tag] community. 'We are grateful to [community_foundation_tag] and proud of the growth we are making together!' says [individual_tag], Executive Director of Literacy Works.</t>
        </is>
      </c>
      <c r="C157" t="n">
        <v>0</v>
      </c>
      <c r="D157" t="n">
        <v>2</v>
      </c>
      <c r="E157" t="n">
        <v>0</v>
      </c>
      <c r="F157" t="n">
        <v>0</v>
      </c>
      <c r="G157" t="b">
        <v>0</v>
      </c>
      <c r="H157" t="n">
        <v>0</v>
      </c>
      <c r="I157" t="n">
        <v>0</v>
      </c>
      <c r="J157" t="n">
        <v>0</v>
      </c>
      <c r="K157" t="n">
        <v>0</v>
      </c>
      <c r="L157" t="n">
        <v>0</v>
      </c>
      <c r="M157" t="n">
        <v>0</v>
      </c>
      <c r="N157" t="n">
        <v>4</v>
      </c>
      <c r="O157" t="n">
        <v>2</v>
      </c>
      <c r="P157" s="7">
        <f>IF(SUM(H157:K157)=0,"",H157/SUM(H157:K157))</f>
        <v/>
      </c>
      <c r="Q157" s="7">
        <f>IF(SUM(H157:K157)=0,"",I157/SUM(H157:K157))</f>
        <v/>
      </c>
      <c r="R157" s="7">
        <f>IF(SUM(H157:K157)=0,"",J157/SUM(H157:K157))</f>
        <v/>
      </c>
      <c r="S157" s="7">
        <f>IF(SUM(H157:K157)=0,"",K157/SUM(H157:K157))</f>
        <v/>
      </c>
      <c r="T157" s="7">
        <f>IF(SUM(L157:O157)=0,"",L157/SUM(L157:O157))</f>
        <v/>
      </c>
      <c r="U157" s="7">
        <f>IF(SUM(L157:O157)=0,"",M157/SUM(L157:O157))</f>
        <v/>
      </c>
      <c r="V157" s="7">
        <f>IF(SUM(L157:O157)=0,"",N157/SUM(L157:O157))</f>
        <v/>
      </c>
      <c r="W157" s="7">
        <f>IF(SUM(L157:O157)=0,"",O157/SUM(L157:O157))</f>
        <v/>
      </c>
    </row>
    <row r="158">
      <c r="A158" t="n">
        <v>169</v>
      </c>
      <c r="B158" t="inlineStr">
        <is>
          <t>CLEAR LANGUAGE LAB PROGRAM DIRECTOR, LITERACY WORKS</t>
        </is>
      </c>
      <c r="C158" t="n">
        <v>0</v>
      </c>
      <c r="D158" t="n">
        <v>1</v>
      </c>
      <c r="E158" t="n">
        <v>0</v>
      </c>
      <c r="F158" t="n">
        <v>0</v>
      </c>
      <c r="G158" t="b">
        <v>0</v>
      </c>
      <c r="H158" t="n">
        <v>0</v>
      </c>
      <c r="I158" t="n">
        <v>0</v>
      </c>
      <c r="J158" t="n">
        <v>0</v>
      </c>
      <c r="K158" t="n">
        <v>0</v>
      </c>
      <c r="L158" t="n">
        <v>0</v>
      </c>
      <c r="M158" t="n">
        <v>0</v>
      </c>
      <c r="N158" t="n">
        <v>1</v>
      </c>
      <c r="O158" t="n">
        <v>2</v>
      </c>
      <c r="P158" s="7">
        <f>IF(SUM(H158:K158)=0,"",H158/SUM(H158:K158))</f>
        <v/>
      </c>
      <c r="Q158" s="7">
        <f>IF(SUM(H158:K158)=0,"",I158/SUM(H158:K158))</f>
        <v/>
      </c>
      <c r="R158" s="7">
        <f>IF(SUM(H158:K158)=0,"",J158/SUM(H158:K158))</f>
        <v/>
      </c>
      <c r="S158" s="7">
        <f>IF(SUM(H158:K158)=0,"",K158/SUM(H158:K158))</f>
        <v/>
      </c>
      <c r="T158" s="7">
        <f>IF(SUM(L158:O158)=0,"",L158/SUM(L158:O158))</f>
        <v/>
      </c>
      <c r="U158" s="7">
        <f>IF(SUM(L158:O158)=0,"",M158/SUM(L158:O158))</f>
        <v/>
      </c>
      <c r="V158" s="7">
        <f>IF(SUM(L158:O158)=0,"",N158/SUM(L158:O158))</f>
        <v/>
      </c>
      <c r="W158" s="7">
        <f>IF(SUM(L158:O158)=0,"",O158/SUM(L158:O158))</f>
        <v/>
      </c>
    </row>
    <row r="159">
      <c r="A159" t="n">
        <v>171</v>
      </c>
      <c r="B159" t="inlineStr">
        <is>
          <t>' Our work at the Clear Language Lab is about making content and information accessible.</t>
        </is>
      </c>
      <c r="C159" t="n">
        <v>1</v>
      </c>
      <c r="D159" t="n">
        <v>1</v>
      </c>
      <c r="E159" t="n">
        <v>0</v>
      </c>
      <c r="F159" t="n">
        <v>0</v>
      </c>
      <c r="G159" t="b">
        <v>1</v>
      </c>
      <c r="H159" t="n">
        <v>0</v>
      </c>
      <c r="I159" t="n">
        <v>0</v>
      </c>
      <c r="J159" t="n">
        <v>0</v>
      </c>
      <c r="K159" t="n">
        <v>2</v>
      </c>
      <c r="L159" t="n">
        <v>0</v>
      </c>
      <c r="M159" t="n">
        <v>0</v>
      </c>
      <c r="N159" t="n">
        <v>1</v>
      </c>
      <c r="O159" t="n">
        <v>2</v>
      </c>
      <c r="P159" s="7">
        <f>IF(SUM(H159:K159)=0,"",H159/SUM(H159:K159))</f>
        <v/>
      </c>
      <c r="Q159" s="7">
        <f>IF(SUM(H159:K159)=0,"",I159/SUM(H159:K159))</f>
        <v/>
      </c>
      <c r="R159" s="7">
        <f>IF(SUM(H159:K159)=0,"",J159/SUM(H159:K159))</f>
        <v/>
      </c>
      <c r="S159" s="7">
        <f>IF(SUM(H159:K159)=0,"",K159/SUM(H159:K159))</f>
        <v/>
      </c>
      <c r="T159" s="7">
        <f>IF(SUM(L159:O159)=0,"",L159/SUM(L159:O159))</f>
        <v/>
      </c>
      <c r="U159" s="7">
        <f>IF(SUM(L159:O159)=0,"",M159/SUM(L159:O159))</f>
        <v/>
      </c>
      <c r="V159" s="7">
        <f>IF(SUM(L159:O159)=0,"",N159/SUM(L159:O159))</f>
        <v/>
      </c>
      <c r="W159" s="7">
        <f>IF(SUM(L159:O159)=0,"",O159/SUM(L159:O159))</f>
        <v/>
      </c>
    </row>
    <row r="160">
      <c r="A160" t="n">
        <v>172</v>
      </c>
      <c r="B160" t="inlineStr">
        <is>
          <t>We noticed the lack of access was a huge, unnecessary barrier for a lot of our students who came through our literacy programs.</t>
        </is>
      </c>
      <c r="C160" t="n">
        <v>1</v>
      </c>
      <c r="D160" t="n">
        <v>1</v>
      </c>
      <c r="E160" t="n">
        <v>0</v>
      </c>
      <c r="F160" t="n">
        <v>0</v>
      </c>
      <c r="G160" t="b">
        <v>1</v>
      </c>
      <c r="H160" t="n">
        <v>0</v>
      </c>
      <c r="I160" t="n">
        <v>0</v>
      </c>
      <c r="J160" t="n">
        <v>0</v>
      </c>
      <c r="K160" t="n">
        <v>2</v>
      </c>
      <c r="L160" t="n">
        <v>0</v>
      </c>
      <c r="M160" t="n">
        <v>0</v>
      </c>
      <c r="N160" t="n">
        <v>1</v>
      </c>
      <c r="O160" t="n">
        <v>2</v>
      </c>
      <c r="P160" s="7">
        <f>IF(SUM(H160:K160)=0,"",H160/SUM(H160:K160))</f>
        <v/>
      </c>
      <c r="Q160" s="7">
        <f>IF(SUM(H160:K160)=0,"",I160/SUM(H160:K160))</f>
        <v/>
      </c>
      <c r="R160" s="7">
        <f>IF(SUM(H160:K160)=0,"",J160/SUM(H160:K160))</f>
        <v/>
      </c>
      <c r="S160" s="7">
        <f>IF(SUM(H160:K160)=0,"",K160/SUM(H160:K160))</f>
        <v/>
      </c>
      <c r="T160" s="7">
        <f>IF(SUM(L160:O160)=0,"",L160/SUM(L160:O160))</f>
        <v/>
      </c>
      <c r="U160" s="7">
        <f>IF(SUM(L160:O160)=0,"",M160/SUM(L160:O160))</f>
        <v/>
      </c>
      <c r="V160" s="7">
        <f>IF(SUM(L160:O160)=0,"",N160/SUM(L160:O160))</f>
        <v/>
      </c>
      <c r="W160" s="7">
        <f>IF(SUM(L160:O160)=0,"",O160/SUM(L160:O160))</f>
        <v/>
      </c>
    </row>
    <row r="161">
      <c r="A161" t="n">
        <v>173</v>
      </c>
      <c r="B161" t="inlineStr">
        <is>
          <t>We created the Clear Language Lab in this spirit of accessibility.</t>
        </is>
      </c>
      <c r="C161" t="n">
        <v>1</v>
      </c>
      <c r="D161" t="n">
        <v>1</v>
      </c>
      <c r="E161" t="n">
        <v>0</v>
      </c>
      <c r="F161" t="n">
        <v>0</v>
      </c>
      <c r="G161" t="b">
        <v>1</v>
      </c>
      <c r="H161" t="n">
        <v>0</v>
      </c>
      <c r="I161" t="n">
        <v>0</v>
      </c>
      <c r="J161" t="n">
        <v>0</v>
      </c>
      <c r="K161" t="n">
        <v>2</v>
      </c>
      <c r="L161" t="n">
        <v>0</v>
      </c>
      <c r="M161" t="n">
        <v>0</v>
      </c>
      <c r="N161" t="n">
        <v>1</v>
      </c>
      <c r="O161" t="n">
        <v>2</v>
      </c>
      <c r="P161" s="7">
        <f>IF(SUM(H161:K161)=0,"",H161/SUM(H161:K161))</f>
        <v/>
      </c>
      <c r="Q161" s="7">
        <f>IF(SUM(H161:K161)=0,"",I161/SUM(H161:K161))</f>
        <v/>
      </c>
      <c r="R161" s="7">
        <f>IF(SUM(H161:K161)=0,"",J161/SUM(H161:K161))</f>
        <v/>
      </c>
      <c r="S161" s="7">
        <f>IF(SUM(H161:K161)=0,"",K161/SUM(H161:K161))</f>
        <v/>
      </c>
      <c r="T161" s="7">
        <f>IF(SUM(L161:O161)=0,"",L161/SUM(L161:O161))</f>
        <v/>
      </c>
      <c r="U161" s="7">
        <f>IF(SUM(L161:O161)=0,"",M161/SUM(L161:O161))</f>
        <v/>
      </c>
      <c r="V161" s="7">
        <f>IF(SUM(L161:O161)=0,"",N161/SUM(L161:O161))</f>
        <v/>
      </c>
      <c r="W161" s="7">
        <f>IF(SUM(L161:O161)=0,"",O161/SUM(L161:O161))</f>
        <v/>
      </c>
    </row>
    <row r="162">
      <c r="A162" t="n">
        <v>174</v>
      </c>
      <c r="B162" t="inlineStr">
        <is>
          <t>[community_foundation_tag] has been a wonderful partner-seeing the vision for Clear Language Lab and Literacy Works and recognizing the potential there.</t>
        </is>
      </c>
      <c r="C162" t="n">
        <v>1</v>
      </c>
      <c r="D162" t="n">
        <v>1</v>
      </c>
      <c r="E162" t="n">
        <v>0</v>
      </c>
      <c r="F162" t="n">
        <v>0</v>
      </c>
      <c r="G162" t="b">
        <v>1</v>
      </c>
      <c r="H162" t="n">
        <v>0</v>
      </c>
      <c r="I162" t="n">
        <v>0</v>
      </c>
      <c r="J162" t="n">
        <v>2</v>
      </c>
      <c r="K162" t="n">
        <v>0</v>
      </c>
      <c r="L162" t="n">
        <v>0</v>
      </c>
      <c r="M162" t="n">
        <v>0</v>
      </c>
      <c r="N162" t="n">
        <v>2</v>
      </c>
      <c r="O162" t="n">
        <v>1</v>
      </c>
      <c r="P162" s="7">
        <f>IF(SUM(H162:K162)=0,"",H162/SUM(H162:K162))</f>
        <v/>
      </c>
      <c r="Q162" s="7">
        <f>IF(SUM(H162:K162)=0,"",I162/SUM(H162:K162))</f>
        <v/>
      </c>
      <c r="R162" s="7">
        <f>IF(SUM(H162:K162)=0,"",J162/SUM(H162:K162))</f>
        <v/>
      </c>
      <c r="S162" s="7">
        <f>IF(SUM(H162:K162)=0,"",K162/SUM(H162:K162))</f>
        <v/>
      </c>
      <c r="T162" s="7">
        <f>IF(SUM(L162:O162)=0,"",L162/SUM(L162:O162))</f>
        <v/>
      </c>
      <c r="U162" s="7">
        <f>IF(SUM(L162:O162)=0,"",M162/SUM(L162:O162))</f>
        <v/>
      </c>
      <c r="V162" s="7">
        <f>IF(SUM(L162:O162)=0,"",N162/SUM(L162:O162))</f>
        <v/>
      </c>
      <c r="W162" s="7">
        <f>IF(SUM(L162:O162)=0,"",O162/SUM(L162:O162))</f>
        <v/>
      </c>
    </row>
    <row r="163">
      <c r="A163" t="n">
        <v>175</v>
      </c>
      <c r="B163" t="inlineStr">
        <is>
          <t>I think there's a lot of talk about equity these days across foundations and nonprofits, but actually doing the work to make those transformations happen takes commitment, and it has been really incredible to see [community_foundation_tag] really living that in their actions and programs.</t>
        </is>
      </c>
      <c r="C163" t="n">
        <v>1</v>
      </c>
      <c r="D163" t="n">
        <v>1</v>
      </c>
      <c r="E163" t="n">
        <v>0</v>
      </c>
      <c r="F163" t="n">
        <v>0</v>
      </c>
      <c r="G163" t="b">
        <v>1</v>
      </c>
      <c r="H163" t="n">
        <v>0</v>
      </c>
      <c r="I163" t="n">
        <v>0</v>
      </c>
      <c r="J163" t="n">
        <v>0</v>
      </c>
      <c r="K163" t="n">
        <v>2</v>
      </c>
      <c r="L163" t="n">
        <v>0</v>
      </c>
      <c r="M163" t="n">
        <v>0</v>
      </c>
      <c r="N163" t="n">
        <v>1</v>
      </c>
      <c r="O163" t="n">
        <v>2</v>
      </c>
      <c r="P163" s="7">
        <f>IF(SUM(H163:K163)=0,"",H163/SUM(H163:K163))</f>
        <v/>
      </c>
      <c r="Q163" s="7">
        <f>IF(SUM(H163:K163)=0,"",I163/SUM(H163:K163))</f>
        <v/>
      </c>
      <c r="R163" s="7">
        <f>IF(SUM(H163:K163)=0,"",J163/SUM(H163:K163))</f>
        <v/>
      </c>
      <c r="S163" s="7">
        <f>IF(SUM(H163:K163)=0,"",K163/SUM(H163:K163))</f>
        <v/>
      </c>
      <c r="T163" s="7">
        <f>IF(SUM(L163:O163)=0,"",L163/SUM(L163:O163))</f>
        <v/>
      </c>
      <c r="U163" s="7">
        <f>IF(SUM(L163:O163)=0,"",M163/SUM(L163:O163))</f>
        <v/>
      </c>
      <c r="V163" s="7">
        <f>IF(SUM(L163:O163)=0,"",N163/SUM(L163:O163))</f>
        <v/>
      </c>
      <c r="W163" s="7">
        <f>IF(SUM(L163:O163)=0,"",O163/SUM(L163:O163))</f>
        <v/>
      </c>
    </row>
    <row r="164">
      <c r="A164" t="n">
        <v>176</v>
      </c>
      <c r="B164" t="inlineStr">
        <is>
          <t>We also worked with [community_foundation_tag] to look at their own grantmaking process to say, 'Wait a minute.</t>
        </is>
      </c>
      <c r="C164" t="n">
        <v>1</v>
      </c>
      <c r="D164" t="n">
        <v>1</v>
      </c>
      <c r="E164" t="n">
        <v>0</v>
      </c>
      <c r="F164" t="n">
        <v>0</v>
      </c>
      <c r="G164" t="b">
        <v>1</v>
      </c>
      <c r="H164" t="n">
        <v>0</v>
      </c>
      <c r="I164" t="n">
        <v>0</v>
      </c>
      <c r="J164" t="n">
        <v>1</v>
      </c>
      <c r="K164" t="n">
        <v>2</v>
      </c>
      <c r="L164" t="n">
        <v>0</v>
      </c>
      <c r="M164" t="n">
        <v>0</v>
      </c>
      <c r="N164" t="n">
        <v>1</v>
      </c>
      <c r="O164" t="n">
        <v>2</v>
      </c>
      <c r="P164" s="7">
        <f>IF(SUM(H164:K164)=0,"",H164/SUM(H164:K164))</f>
        <v/>
      </c>
      <c r="Q164" s="7">
        <f>IF(SUM(H164:K164)=0,"",I164/SUM(H164:K164))</f>
        <v/>
      </c>
      <c r="R164" s="7">
        <f>IF(SUM(H164:K164)=0,"",J164/SUM(H164:K164))</f>
        <v/>
      </c>
      <c r="S164" s="7">
        <f>IF(SUM(H164:K164)=0,"",K164/SUM(H164:K164))</f>
        <v/>
      </c>
      <c r="T164" s="7">
        <f>IF(SUM(L164:O164)=0,"",L164/SUM(L164:O164))</f>
        <v/>
      </c>
      <c r="U164" s="7">
        <f>IF(SUM(L164:O164)=0,"",M164/SUM(L164:O164))</f>
        <v/>
      </c>
      <c r="V164" s="7">
        <f>IF(SUM(L164:O164)=0,"",N164/SUM(L164:O164))</f>
        <v/>
      </c>
      <c r="W164" s="7">
        <f>IF(SUM(L164:O164)=0,"",O164/SUM(L164:O164))</f>
        <v/>
      </c>
    </row>
    <row r="165">
      <c r="A165" t="n">
        <v>177</v>
      </c>
      <c r="B165" t="inlineStr">
        <is>
          <t>What are we doing to make sure our processes are accessible for organizations?'</t>
        </is>
      </c>
      <c r="C165" t="n">
        <v>1</v>
      </c>
      <c r="D165" t="n">
        <v>1</v>
      </c>
      <c r="E165" t="n">
        <v>0</v>
      </c>
      <c r="F165" t="n">
        <v>0</v>
      </c>
      <c r="G165" t="b">
        <v>1</v>
      </c>
      <c r="H165" t="n">
        <v>0</v>
      </c>
      <c r="I165" t="n">
        <v>0</v>
      </c>
      <c r="J165" t="n">
        <v>0</v>
      </c>
      <c r="K165" t="n">
        <v>2</v>
      </c>
      <c r="L165" t="n">
        <v>0</v>
      </c>
      <c r="M165" t="n">
        <v>0</v>
      </c>
      <c r="N165" t="n">
        <v>1</v>
      </c>
      <c r="O165" t="n">
        <v>2</v>
      </c>
      <c r="P165" s="7">
        <f>IF(SUM(H165:K165)=0,"",H165/SUM(H165:K165))</f>
        <v/>
      </c>
      <c r="Q165" s="7">
        <f>IF(SUM(H165:K165)=0,"",I165/SUM(H165:K165))</f>
        <v/>
      </c>
      <c r="R165" s="7">
        <f>IF(SUM(H165:K165)=0,"",J165/SUM(H165:K165))</f>
        <v/>
      </c>
      <c r="S165" s="7">
        <f>IF(SUM(H165:K165)=0,"",K165/SUM(H165:K165))</f>
        <v/>
      </c>
      <c r="T165" s="7">
        <f>IF(SUM(L165:O165)=0,"",L165/SUM(L165:O165))</f>
        <v/>
      </c>
      <c r="U165" s="7">
        <f>IF(SUM(L165:O165)=0,"",M165/SUM(L165:O165))</f>
        <v/>
      </c>
      <c r="V165" s="7">
        <f>IF(SUM(L165:O165)=0,"",N165/SUM(L165:O165))</f>
        <v/>
      </c>
      <c r="W165" s="7">
        <f>IF(SUM(L165:O165)=0,"",O165/SUM(L165:O165))</f>
        <v/>
      </c>
    </row>
    <row r="166">
      <c r="A166" t="n">
        <v>178</v>
      </c>
      <c r="B166" t="inlineStr">
        <is>
          <t>Not every organization has a giant Development department or has the resources to devote to the sometimes overwhelming grantmaking processes. Therefore, how do we make that process easier and more accessible so that the groups that are doing important work aren't inhibited by that process, and that money can get into the hands of those that need it to do critical work.'</t>
        </is>
      </c>
      <c r="C166" t="n">
        <v>1</v>
      </c>
      <c r="D166" t="n">
        <v>2</v>
      </c>
      <c r="E166" t="n">
        <v>0</v>
      </c>
      <c r="F166" t="n">
        <v>0</v>
      </c>
      <c r="G166" t="b">
        <v>1</v>
      </c>
      <c r="H166" t="n">
        <v>0</v>
      </c>
      <c r="I166" t="n">
        <v>0</v>
      </c>
      <c r="J166" t="n">
        <v>0</v>
      </c>
      <c r="K166" t="n">
        <v>2</v>
      </c>
      <c r="L166" t="n">
        <v>0</v>
      </c>
      <c r="M166" t="n">
        <v>0</v>
      </c>
      <c r="N166" t="n">
        <v>2</v>
      </c>
      <c r="O166" t="n">
        <v>4</v>
      </c>
      <c r="P166" s="7">
        <f>IF(SUM(H166:K166)=0,"",H166/SUM(H166:K166))</f>
        <v/>
      </c>
      <c r="Q166" s="7">
        <f>IF(SUM(H166:K166)=0,"",I166/SUM(H166:K166))</f>
        <v/>
      </c>
      <c r="R166" s="7">
        <f>IF(SUM(H166:K166)=0,"",J166/SUM(H166:K166))</f>
        <v/>
      </c>
      <c r="S166" s="7">
        <f>IF(SUM(H166:K166)=0,"",K166/SUM(H166:K166))</f>
        <v/>
      </c>
      <c r="T166" s="7">
        <f>IF(SUM(L166:O166)=0,"",L166/SUM(L166:O166))</f>
        <v/>
      </c>
      <c r="U166" s="7">
        <f>IF(SUM(L166:O166)=0,"",M166/SUM(L166:O166))</f>
        <v/>
      </c>
      <c r="V166" s="7">
        <f>IF(SUM(L166:O166)=0,"",N166/SUM(L166:O166))</f>
        <v/>
      </c>
      <c r="W166" s="7">
        <f>IF(SUM(L166:O166)=0,"",O166/SUM(L166:O166))</f>
        <v/>
      </c>
    </row>
    <row r="167">
      <c r="A167" t="n">
        <v>179</v>
      </c>
      <c r="B167" t="inlineStr">
        <is>
          <t>EXECUTIVE DIRECTOR, LITERACY WORKS</t>
        </is>
      </c>
      <c r="C167" t="n">
        <v>0</v>
      </c>
      <c r="D167" t="n">
        <v>1</v>
      </c>
      <c r="E167" t="n">
        <v>0</v>
      </c>
      <c r="F167" t="n">
        <v>0</v>
      </c>
      <c r="G167" t="b">
        <v>0</v>
      </c>
      <c r="H167" t="n">
        <v>0</v>
      </c>
      <c r="I167" t="n">
        <v>0</v>
      </c>
      <c r="J167" t="n">
        <v>0</v>
      </c>
      <c r="K167" t="n">
        <v>0</v>
      </c>
      <c r="L167" t="n">
        <v>1</v>
      </c>
      <c r="M167" t="n">
        <v>0</v>
      </c>
      <c r="N167" t="n">
        <v>2</v>
      </c>
      <c r="O167" t="n">
        <v>0</v>
      </c>
      <c r="P167" s="7">
        <f>IF(SUM(H167:K167)=0,"",H167/SUM(H167:K167))</f>
        <v/>
      </c>
      <c r="Q167" s="7">
        <f>IF(SUM(H167:K167)=0,"",I167/SUM(H167:K167))</f>
        <v/>
      </c>
      <c r="R167" s="7">
        <f>IF(SUM(H167:K167)=0,"",J167/SUM(H167:K167))</f>
        <v/>
      </c>
      <c r="S167" s="7">
        <f>IF(SUM(H167:K167)=0,"",K167/SUM(H167:K167))</f>
        <v/>
      </c>
      <c r="T167" s="7">
        <f>IF(SUM(L167:O167)=0,"",L167/SUM(L167:O167))</f>
        <v/>
      </c>
      <c r="U167" s="7">
        <f>IF(SUM(L167:O167)=0,"",M167/SUM(L167:O167))</f>
        <v/>
      </c>
      <c r="V167" s="7">
        <f>IF(SUM(L167:O167)=0,"",N167/SUM(L167:O167))</f>
        <v/>
      </c>
      <c r="W167" s="7">
        <f>IF(SUM(L167:O167)=0,"",O167/SUM(L167:O167))</f>
        <v/>
      </c>
    </row>
    <row r="168">
      <c r="A168" t="n">
        <v>181</v>
      </c>
      <c r="B168" t="inlineStr">
        <is>
          <t>' Literacy Works has been around for over 25 years now.</t>
        </is>
      </c>
      <c r="C168" t="n">
        <v>0</v>
      </c>
      <c r="D168" t="n">
        <v>1</v>
      </c>
      <c r="E168" t="n">
        <v>0</v>
      </c>
      <c r="F168" t="n">
        <v>0</v>
      </c>
      <c r="G168" t="b">
        <v>0</v>
      </c>
      <c r="H168" t="n">
        <v>0</v>
      </c>
      <c r="I168" t="n">
        <v>0</v>
      </c>
      <c r="J168" t="n">
        <v>0</v>
      </c>
      <c r="K168" t="n">
        <v>0</v>
      </c>
      <c r="L168" t="n">
        <v>2</v>
      </c>
      <c r="M168" t="n">
        <v>0</v>
      </c>
      <c r="N168" t="n">
        <v>1</v>
      </c>
      <c r="O168" t="n">
        <v>0</v>
      </c>
      <c r="P168" s="7">
        <f>IF(SUM(H168:K168)=0,"",H168/SUM(H168:K168))</f>
        <v/>
      </c>
      <c r="Q168" s="7">
        <f>IF(SUM(H168:K168)=0,"",I168/SUM(H168:K168))</f>
        <v/>
      </c>
      <c r="R168" s="7">
        <f>IF(SUM(H168:K168)=0,"",J168/SUM(H168:K168))</f>
        <v/>
      </c>
      <c r="S168" s="7">
        <f>IF(SUM(H168:K168)=0,"",K168/SUM(H168:K168))</f>
        <v/>
      </c>
      <c r="T168" s="7">
        <f>IF(SUM(L168:O168)=0,"",L168/SUM(L168:O168))</f>
        <v/>
      </c>
      <c r="U168" s="7">
        <f>IF(SUM(L168:O168)=0,"",M168/SUM(L168:O168))</f>
        <v/>
      </c>
      <c r="V168" s="7">
        <f>IF(SUM(L168:O168)=0,"",N168/SUM(L168:O168))</f>
        <v/>
      </c>
      <c r="W168" s="7">
        <f>IF(SUM(L168:O168)=0,"",O168/SUM(L168:O168))</f>
        <v/>
      </c>
    </row>
    <row r="169">
      <c r="A169" t="n">
        <v>182</v>
      </c>
      <c r="B169" t="inlineStr">
        <is>
          <t>We were originally founded to provide tutor training and professional development opportunities to volunteer-based adult literacy programs on the north side of Chicago.</t>
        </is>
      </c>
      <c r="C169" t="n">
        <v>0</v>
      </c>
      <c r="D169" t="n">
        <v>1</v>
      </c>
      <c r="E169" t="n">
        <v>0</v>
      </c>
      <c r="F169" t="n">
        <v>0</v>
      </c>
      <c r="G169" t="b">
        <v>0</v>
      </c>
      <c r="H169" t="n">
        <v>0</v>
      </c>
      <c r="I169" t="n">
        <v>0</v>
      </c>
      <c r="J169" t="n">
        <v>0</v>
      </c>
      <c r="K169" t="n">
        <v>0</v>
      </c>
      <c r="L169" t="n">
        <v>0</v>
      </c>
      <c r="M169" t="n">
        <v>0</v>
      </c>
      <c r="N169" t="n">
        <v>2</v>
      </c>
      <c r="O169" t="n">
        <v>1</v>
      </c>
      <c r="P169" s="7">
        <f>IF(SUM(H169:K169)=0,"",H169/SUM(H169:K169))</f>
        <v/>
      </c>
      <c r="Q169" s="7">
        <f>IF(SUM(H169:K169)=0,"",I169/SUM(H169:K169))</f>
        <v/>
      </c>
      <c r="R169" s="7">
        <f>IF(SUM(H169:K169)=0,"",J169/SUM(H169:K169))</f>
        <v/>
      </c>
      <c r="S169" s="7">
        <f>IF(SUM(H169:K169)=0,"",K169/SUM(H169:K169))</f>
        <v/>
      </c>
      <c r="T169" s="7">
        <f>IF(SUM(L169:O169)=0,"",L169/SUM(L169:O169))</f>
        <v/>
      </c>
      <c r="U169" s="7">
        <f>IF(SUM(L169:O169)=0,"",M169/SUM(L169:O169))</f>
        <v/>
      </c>
      <c r="V169" s="7">
        <f>IF(SUM(L169:O169)=0,"",N169/SUM(L169:O169))</f>
        <v/>
      </c>
      <c r="W169" s="7">
        <f>IF(SUM(L169:O169)=0,"",O169/SUM(L169:O169))</f>
        <v/>
      </c>
    </row>
    <row r="170">
      <c r="A170" t="n">
        <v>183</v>
      </c>
      <c r="B170" t="inlineStr">
        <is>
          <t>Today we work with over 50 adult literacy programs across Illinois.</t>
        </is>
      </c>
      <c r="C170" t="n">
        <v>0</v>
      </c>
      <c r="D170" t="n">
        <v>1</v>
      </c>
      <c r="E170" t="n">
        <v>0</v>
      </c>
      <c r="F170" t="n">
        <v>0</v>
      </c>
      <c r="G170" t="b">
        <v>0</v>
      </c>
      <c r="H170" t="n">
        <v>0</v>
      </c>
      <c r="I170" t="n">
        <v>0</v>
      </c>
      <c r="J170" t="n">
        <v>0</v>
      </c>
      <c r="K170" t="n">
        <v>0</v>
      </c>
      <c r="L170" t="n">
        <v>0</v>
      </c>
      <c r="M170" t="n">
        <v>0</v>
      </c>
      <c r="N170" t="n">
        <v>2</v>
      </c>
      <c r="O170" t="n">
        <v>1</v>
      </c>
      <c r="P170" s="7">
        <f>IF(SUM(H170:K170)=0,"",H170/SUM(H170:K170))</f>
        <v/>
      </c>
      <c r="Q170" s="7">
        <f>IF(SUM(H170:K170)=0,"",I170/SUM(H170:K170))</f>
        <v/>
      </c>
      <c r="R170" s="7">
        <f>IF(SUM(H170:K170)=0,"",J170/SUM(H170:K170))</f>
        <v/>
      </c>
      <c r="S170" s="7">
        <f>IF(SUM(H170:K170)=0,"",K170/SUM(H170:K170))</f>
        <v/>
      </c>
      <c r="T170" s="7">
        <f>IF(SUM(L170:O170)=0,"",L170/SUM(L170:O170))</f>
        <v/>
      </c>
      <c r="U170" s="7">
        <f>IF(SUM(L170:O170)=0,"",M170/SUM(L170:O170))</f>
        <v/>
      </c>
      <c r="V170" s="7">
        <f>IF(SUM(L170:O170)=0,"",N170/SUM(L170:O170))</f>
        <v/>
      </c>
      <c r="W170" s="7">
        <f>IF(SUM(L170:O170)=0,"",O170/SUM(L170:O170))</f>
        <v/>
      </c>
    </row>
    <row r="171">
      <c r="A171" t="n">
        <v>184</v>
      </c>
      <c r="B171" t="inlineStr">
        <is>
          <t>For years, we were getting requests from organizations across many different sectors to help make their communications easier to understand.</t>
        </is>
      </c>
      <c r="C171" t="n">
        <v>0</v>
      </c>
      <c r="D171" t="n">
        <v>1</v>
      </c>
      <c r="E171" t="n">
        <v>0</v>
      </c>
      <c r="F171" t="n">
        <v>0</v>
      </c>
      <c r="G171" t="b">
        <v>0</v>
      </c>
      <c r="H171" t="n">
        <v>0</v>
      </c>
      <c r="I171" t="n">
        <v>0</v>
      </c>
      <c r="J171" t="n">
        <v>0</v>
      </c>
      <c r="K171" t="n">
        <v>0</v>
      </c>
      <c r="L171" t="n">
        <v>0</v>
      </c>
      <c r="M171" t="n">
        <v>0</v>
      </c>
      <c r="N171" t="n">
        <v>2</v>
      </c>
      <c r="O171" t="n">
        <v>1</v>
      </c>
      <c r="P171" s="7">
        <f>IF(SUM(H171:K171)=0,"",H171/SUM(H171:K171))</f>
        <v/>
      </c>
      <c r="Q171" s="7">
        <f>IF(SUM(H171:K171)=0,"",I171/SUM(H171:K171))</f>
        <v/>
      </c>
      <c r="R171" s="7">
        <f>IF(SUM(H171:K171)=0,"",J171/SUM(H171:K171))</f>
        <v/>
      </c>
      <c r="S171" s="7">
        <f>IF(SUM(H171:K171)=0,"",K171/SUM(H171:K171))</f>
        <v/>
      </c>
      <c r="T171" s="7">
        <f>IF(SUM(L171:O171)=0,"",L171/SUM(L171:O171))</f>
        <v/>
      </c>
      <c r="U171" s="7">
        <f>IF(SUM(L171:O171)=0,"",M171/SUM(L171:O171))</f>
        <v/>
      </c>
      <c r="V171" s="7">
        <f>IF(SUM(L171:O171)=0,"",N171/SUM(L171:O171))</f>
        <v/>
      </c>
      <c r="W171" s="7">
        <f>IF(SUM(L171:O171)=0,"",O171/SUM(L171:O171))</f>
        <v/>
      </c>
    </row>
    <row r="172">
      <c r="A172" t="n">
        <v>185</v>
      </c>
      <c r="B172" t="inlineStr">
        <is>
          <t>As adult educators, we recognized this to be such an important need that in 2018 we decided to create the Clear Language Lab at Literacy Works.</t>
        </is>
      </c>
      <c r="C172" t="n">
        <v>0</v>
      </c>
      <c r="D172" t="n">
        <v>1</v>
      </c>
      <c r="E172" t="n">
        <v>0</v>
      </c>
      <c r="F172" t="n">
        <v>0</v>
      </c>
      <c r="G172" t="b">
        <v>0</v>
      </c>
      <c r="H172" t="n">
        <v>0</v>
      </c>
      <c r="I172" t="n">
        <v>0</v>
      </c>
      <c r="J172" t="n">
        <v>0</v>
      </c>
      <c r="K172" t="n">
        <v>0</v>
      </c>
      <c r="L172" t="n">
        <v>0</v>
      </c>
      <c r="M172" t="n">
        <v>0</v>
      </c>
      <c r="N172" t="n">
        <v>2</v>
      </c>
      <c r="O172" t="n">
        <v>1</v>
      </c>
      <c r="P172" s="7">
        <f>IF(SUM(H172:K172)=0,"",H172/SUM(H172:K172))</f>
        <v/>
      </c>
      <c r="Q172" s="7">
        <f>IF(SUM(H172:K172)=0,"",I172/SUM(H172:K172))</f>
        <v/>
      </c>
      <c r="R172" s="7">
        <f>IF(SUM(H172:K172)=0,"",J172/SUM(H172:K172))</f>
        <v/>
      </c>
      <c r="S172" s="7">
        <f>IF(SUM(H172:K172)=0,"",K172/SUM(H172:K172))</f>
        <v/>
      </c>
      <c r="T172" s="7">
        <f>IF(SUM(L172:O172)=0,"",L172/SUM(L172:O172))</f>
        <v/>
      </c>
      <c r="U172" s="7">
        <f>IF(SUM(L172:O172)=0,"",M172/SUM(L172:O172))</f>
        <v/>
      </c>
      <c r="V172" s="7">
        <f>IF(SUM(L172:O172)=0,"",N172/SUM(L172:O172))</f>
        <v/>
      </c>
      <c r="W172" s="7">
        <f>IF(SUM(L172:O172)=0,"",O172/SUM(L172:O172))</f>
        <v/>
      </c>
    </row>
    <row r="173">
      <c r="A173" t="n">
        <v>186</v>
      </c>
      <c r="B173" t="inlineStr">
        <is>
          <t>It is fantastic to see [community_foundation_tag] step up as a real leader in prioritizing clear and accessible communication. I am thrilled to have [community_foundation_tag]'s support and partnership as we work together to change societal systems and make easy-to-understand messaging the norm.</t>
        </is>
      </c>
      <c r="C173" t="n">
        <v>1</v>
      </c>
      <c r="D173" t="n">
        <v>1</v>
      </c>
      <c r="E173" t="n">
        <v>0</v>
      </c>
      <c r="F173" t="n">
        <v>0</v>
      </c>
      <c r="G173" t="b">
        <v>1</v>
      </c>
      <c r="H173" t="n">
        <v>0</v>
      </c>
      <c r="I173" t="n">
        <v>0</v>
      </c>
      <c r="J173" t="n">
        <v>1</v>
      </c>
      <c r="K173" t="n">
        <v>2</v>
      </c>
      <c r="L173" t="n">
        <v>0</v>
      </c>
      <c r="M173" t="n">
        <v>0</v>
      </c>
      <c r="N173" t="n">
        <v>2</v>
      </c>
      <c r="O173" t="n">
        <v>1</v>
      </c>
      <c r="P173" s="7">
        <f>IF(SUM(H173:K173)=0,"",H173/SUM(H173:K173))</f>
        <v/>
      </c>
      <c r="Q173" s="7">
        <f>IF(SUM(H173:K173)=0,"",I173/SUM(H173:K173))</f>
        <v/>
      </c>
      <c r="R173" s="7">
        <f>IF(SUM(H173:K173)=0,"",J173/SUM(H173:K173))</f>
        <v/>
      </c>
      <c r="S173" s="7">
        <f>IF(SUM(H173:K173)=0,"",K173/SUM(H173:K173))</f>
        <v/>
      </c>
      <c r="T173" s="7">
        <f>IF(SUM(L173:O173)=0,"",L173/SUM(L173:O173))</f>
        <v/>
      </c>
      <c r="U173" s="7">
        <f>IF(SUM(L173:O173)=0,"",M173/SUM(L173:O173))</f>
        <v/>
      </c>
      <c r="V173" s="7">
        <f>IF(SUM(L173:O173)=0,"",N173/SUM(L173:O173))</f>
        <v/>
      </c>
      <c r="W173" s="7">
        <f>IF(SUM(L173:O173)=0,"",O173/SUM(L173:O173))</f>
        <v/>
      </c>
    </row>
    <row r="174">
      <c r="A174" t="n">
        <v>187</v>
      </c>
      <c r="B174" t="inlineStr">
        <is>
          <t>It is my hope that [community_foundation_tag] will serve as a model for other foundations. We'd like to showcase the important progress being made here in Evanston to other funders and say, 'Look at the remarkable work being done in Evanston!</t>
        </is>
      </c>
      <c r="C174" t="n">
        <v>1</v>
      </c>
      <c r="D174" t="n">
        <v>1</v>
      </c>
      <c r="E174" t="n">
        <v>0</v>
      </c>
      <c r="F174" t="n">
        <v>0</v>
      </c>
      <c r="G174" t="b">
        <v>1</v>
      </c>
      <c r="H174" t="n">
        <v>0</v>
      </c>
      <c r="I174" t="n">
        <v>0</v>
      </c>
      <c r="J174" t="n">
        <v>2</v>
      </c>
      <c r="K174" t="n">
        <v>0</v>
      </c>
      <c r="L174" t="n">
        <v>0</v>
      </c>
      <c r="M174" t="n">
        <v>0</v>
      </c>
      <c r="N174" t="n">
        <v>2</v>
      </c>
      <c r="O174" t="n">
        <v>1</v>
      </c>
      <c r="P174" s="7">
        <f>IF(SUM(H174:K174)=0,"",H174/SUM(H174:K174))</f>
        <v/>
      </c>
      <c r="Q174" s="7">
        <f>IF(SUM(H174:K174)=0,"",I174/SUM(H174:K174))</f>
        <v/>
      </c>
      <c r="R174" s="7">
        <f>IF(SUM(H174:K174)=0,"",J174/SUM(H174:K174))</f>
        <v/>
      </c>
      <c r="S174" s="7">
        <f>IF(SUM(H174:K174)=0,"",K174/SUM(H174:K174))</f>
        <v/>
      </c>
      <c r="T174" s="7">
        <f>IF(SUM(L174:O174)=0,"",L174/SUM(L174:O174))</f>
        <v/>
      </c>
      <c r="U174" s="7">
        <f>IF(SUM(L174:O174)=0,"",M174/SUM(L174:O174))</f>
        <v/>
      </c>
      <c r="V174" s="7">
        <f>IF(SUM(L174:O174)=0,"",N174/SUM(L174:O174))</f>
        <v/>
      </c>
      <c r="W174" s="7">
        <f>IF(SUM(L174:O174)=0,"",O174/SUM(L174:O174))</f>
        <v/>
      </c>
    </row>
    <row r="175">
      <c r="A175" t="n">
        <v>188</v>
      </c>
      <c r="B175" t="inlineStr">
        <is>
          <t>Let the Clear Language Lab work with you and your grantees to make sure that the valuable programs being funded are reaching those who need them most.''</t>
        </is>
      </c>
      <c r="C175" t="n">
        <v>1</v>
      </c>
      <c r="D175" t="n">
        <v>1</v>
      </c>
      <c r="E175" t="n">
        <v>0</v>
      </c>
      <c r="F175" t="n">
        <v>0</v>
      </c>
      <c r="G175" t="b">
        <v>1</v>
      </c>
      <c r="H175" t="n">
        <v>0</v>
      </c>
      <c r="I175" t="n">
        <v>0</v>
      </c>
      <c r="J175" t="n">
        <v>0</v>
      </c>
      <c r="K175" t="n">
        <v>2</v>
      </c>
      <c r="L175" t="n">
        <v>0</v>
      </c>
      <c r="M175" t="n">
        <v>0</v>
      </c>
      <c r="N175" t="n">
        <v>1</v>
      </c>
      <c r="O175" t="n">
        <v>2</v>
      </c>
      <c r="P175" s="7">
        <f>IF(SUM(H175:K175)=0,"",H175/SUM(H175:K175))</f>
        <v/>
      </c>
      <c r="Q175" s="7">
        <f>IF(SUM(H175:K175)=0,"",I175/SUM(H175:K175))</f>
        <v/>
      </c>
      <c r="R175" s="7">
        <f>IF(SUM(H175:K175)=0,"",J175/SUM(H175:K175))</f>
        <v/>
      </c>
      <c r="S175" s="7">
        <f>IF(SUM(H175:K175)=0,"",K175/SUM(H175:K175))</f>
        <v/>
      </c>
      <c r="T175" s="7">
        <f>IF(SUM(L175:O175)=0,"",L175/SUM(L175:O175))</f>
        <v/>
      </c>
      <c r="U175" s="7">
        <f>IF(SUM(L175:O175)=0,"",M175/SUM(L175:O175))</f>
        <v/>
      </c>
      <c r="V175" s="7">
        <f>IF(SUM(L175:O175)=0,"",N175/SUM(L175:O175))</f>
        <v/>
      </c>
      <c r="W175" s="7">
        <f>IF(SUM(L175:O175)=0,"",O175/SUM(L175:O175))</f>
        <v/>
      </c>
    </row>
    <row r="176">
      <c r="A176" t="n">
        <v>189</v>
      </c>
      <c r="B176" t="inlineStr">
        <is>
          <t>'I love this community.</t>
        </is>
      </c>
      <c r="C176" t="n">
        <v>0</v>
      </c>
      <c r="D176" t="n">
        <v>1</v>
      </c>
      <c r="E176" t="n">
        <v>0</v>
      </c>
      <c r="F176" t="n">
        <v>0</v>
      </c>
      <c r="G176" t="b">
        <v>0</v>
      </c>
      <c r="H176" t="n">
        <v>0</v>
      </c>
      <c r="I176" t="n">
        <v>0</v>
      </c>
      <c r="J176" t="n">
        <v>0</v>
      </c>
      <c r="K176" t="n">
        <v>0</v>
      </c>
      <c r="L176" t="n">
        <v>2</v>
      </c>
      <c r="M176" t="n">
        <v>0</v>
      </c>
      <c r="N176" t="n">
        <v>0</v>
      </c>
      <c r="O176" t="n">
        <v>1</v>
      </c>
      <c r="P176" s="7">
        <f>IF(SUM(H176:K176)=0,"",H176/SUM(H176:K176))</f>
        <v/>
      </c>
      <c r="Q176" s="7">
        <f>IF(SUM(H176:K176)=0,"",I176/SUM(H176:K176))</f>
        <v/>
      </c>
      <c r="R176" s="7">
        <f>IF(SUM(H176:K176)=0,"",J176/SUM(H176:K176))</f>
        <v/>
      </c>
      <c r="S176" s="7">
        <f>IF(SUM(H176:K176)=0,"",K176/SUM(H176:K176))</f>
        <v/>
      </c>
      <c r="T176" s="7">
        <f>IF(SUM(L176:O176)=0,"",L176/SUM(L176:O176))</f>
        <v/>
      </c>
      <c r="U176" s="7">
        <f>IF(SUM(L176:O176)=0,"",M176/SUM(L176:O176))</f>
        <v/>
      </c>
      <c r="V176" s="7">
        <f>IF(SUM(L176:O176)=0,"",N176/SUM(L176:O176))</f>
        <v/>
      </c>
      <c r="W176" s="7">
        <f>IF(SUM(L176:O176)=0,"",O176/SUM(L176:O176))</f>
        <v/>
      </c>
    </row>
    <row r="177">
      <c r="A177" t="n">
        <v>190</v>
      </c>
      <c r="B177" t="inlineStr">
        <is>
          <t>It has given me a home, a place to raise my children with the values that I hold dear, deep friendships, and unwavering support.</t>
        </is>
      </c>
      <c r="C177" t="n">
        <v>1</v>
      </c>
      <c r="D177" t="n">
        <v>1</v>
      </c>
      <c r="E177" t="n">
        <v>0</v>
      </c>
      <c r="F177" t="n">
        <v>0</v>
      </c>
      <c r="G177" t="b">
        <v>1</v>
      </c>
      <c r="H177" t="n">
        <v>2</v>
      </c>
      <c r="I177" t="n">
        <v>0</v>
      </c>
      <c r="J177" t="n">
        <v>0</v>
      </c>
      <c r="K177" t="n">
        <v>0</v>
      </c>
      <c r="L177" t="n">
        <v>2</v>
      </c>
      <c r="M177" t="n">
        <v>0</v>
      </c>
      <c r="N177" t="n">
        <v>1</v>
      </c>
      <c r="O177" t="n">
        <v>0</v>
      </c>
      <c r="P177" s="7">
        <f>IF(SUM(H177:K177)=0,"",H177/SUM(H177:K177))</f>
        <v/>
      </c>
      <c r="Q177" s="7">
        <f>IF(SUM(H177:K177)=0,"",I177/SUM(H177:K177))</f>
        <v/>
      </c>
      <c r="R177" s="7">
        <f>IF(SUM(H177:K177)=0,"",J177/SUM(H177:K177))</f>
        <v/>
      </c>
      <c r="S177" s="7">
        <f>IF(SUM(H177:K177)=0,"",K177/SUM(H177:K177))</f>
        <v/>
      </c>
      <c r="T177" s="7">
        <f>IF(SUM(L177:O177)=0,"",L177/SUM(L177:O177))</f>
        <v/>
      </c>
      <c r="U177" s="7">
        <f>IF(SUM(L177:O177)=0,"",M177/SUM(L177:O177))</f>
        <v/>
      </c>
      <c r="V177" s="7">
        <f>IF(SUM(L177:O177)=0,"",N177/SUM(L177:O177))</f>
        <v/>
      </c>
      <c r="W177" s="7">
        <f>IF(SUM(L177:O177)=0,"",O177/SUM(L177:O177))</f>
        <v/>
      </c>
    </row>
    <row r="178">
      <c r="A178" t="n">
        <v>191</v>
      </c>
      <c r="B178" t="inlineStr">
        <is>
          <t>I cannot imagine a better place to live, work and serve, nor an organization more deserving of support than [community_foundation_tag] [community_foundation_tag].'</t>
        </is>
      </c>
      <c r="C178" t="n">
        <v>1</v>
      </c>
      <c r="D178" t="n">
        <v>2</v>
      </c>
      <c r="E178" t="n">
        <v>1</v>
      </c>
      <c r="F178" t="n">
        <v>0</v>
      </c>
      <c r="G178" t="b">
        <v>1</v>
      </c>
      <c r="H178" t="n">
        <v>0</v>
      </c>
      <c r="I178" t="n">
        <v>0</v>
      </c>
      <c r="J178" t="n">
        <v>0</v>
      </c>
      <c r="K178" t="n">
        <v>0</v>
      </c>
      <c r="L178" t="n">
        <v>4</v>
      </c>
      <c r="M178" t="n">
        <v>1</v>
      </c>
      <c r="N178" t="n">
        <v>1</v>
      </c>
      <c r="O178" t="n">
        <v>0</v>
      </c>
      <c r="P178" s="7">
        <f>IF(SUM(H178:K178)=0,"",H178/SUM(H178:K178))</f>
        <v/>
      </c>
      <c r="Q178" s="7">
        <f>IF(SUM(H178:K178)=0,"",I178/SUM(H178:K178))</f>
        <v/>
      </c>
      <c r="R178" s="7">
        <f>IF(SUM(H178:K178)=0,"",J178/SUM(H178:K178))</f>
        <v/>
      </c>
      <c r="S178" s="7">
        <f>IF(SUM(H178:K178)=0,"",K178/SUM(H178:K178))</f>
        <v/>
      </c>
      <c r="T178" s="7">
        <f>IF(SUM(L178:O178)=0,"",L178/SUM(L178:O178))</f>
        <v/>
      </c>
      <c r="U178" s="7">
        <f>IF(SUM(L178:O178)=0,"",M178/SUM(L178:O178))</f>
        <v/>
      </c>
      <c r="V178" s="7">
        <f>IF(SUM(L178:O178)=0,"",N178/SUM(L178:O178))</f>
        <v/>
      </c>
      <c r="W178" s="7">
        <f>IF(SUM(L178:O178)=0,"",O178/SUM(L178:O178))</f>
        <v/>
      </c>
    </row>
    <row r="179">
      <c r="A179" t="n">
        <v>193</v>
      </c>
      <c r="B179" t="inlineStr">
        <is>
          <t>Board Chair</t>
        </is>
      </c>
      <c r="C179" t="n">
        <v>0</v>
      </c>
      <c r="D179" t="n">
        <v>1</v>
      </c>
      <c r="E179" t="n">
        <v>0</v>
      </c>
      <c r="F179" t="n">
        <v>0</v>
      </c>
      <c r="G179" t="b">
        <v>0</v>
      </c>
      <c r="H179" t="n">
        <v>0</v>
      </c>
      <c r="I179" t="n">
        <v>0</v>
      </c>
      <c r="J179" t="n">
        <v>0</v>
      </c>
      <c r="K179" t="n">
        <v>0</v>
      </c>
      <c r="L179" t="n">
        <v>2</v>
      </c>
      <c r="M179" t="n">
        <v>0</v>
      </c>
      <c r="N179" t="n">
        <v>1</v>
      </c>
      <c r="O179" t="n">
        <v>0</v>
      </c>
      <c r="P179" s="7">
        <f>IF(SUM(H179:K179)=0,"",H179/SUM(H179:K179))</f>
        <v/>
      </c>
      <c r="Q179" s="7">
        <f>IF(SUM(H179:K179)=0,"",I179/SUM(H179:K179))</f>
        <v/>
      </c>
      <c r="R179" s="7">
        <f>IF(SUM(H179:K179)=0,"",J179/SUM(H179:K179))</f>
        <v/>
      </c>
      <c r="S179" s="7">
        <f>IF(SUM(H179:K179)=0,"",K179/SUM(H179:K179))</f>
        <v/>
      </c>
      <c r="T179" s="7">
        <f>IF(SUM(L179:O179)=0,"",L179/SUM(L179:O179))</f>
        <v/>
      </c>
      <c r="U179" s="7">
        <f>IF(SUM(L179:O179)=0,"",M179/SUM(L179:O179))</f>
        <v/>
      </c>
      <c r="V179" s="7">
        <f>IF(SUM(L179:O179)=0,"",N179/SUM(L179:O179))</f>
        <v/>
      </c>
      <c r="W179" s="7">
        <f>IF(SUM(L179:O179)=0,"",O179/SUM(L179:O179))</f>
        <v/>
      </c>
    </row>
    <row r="180">
      <c r="A180" t="n">
        <v>194</v>
      </c>
      <c r="B180" t="inlineStr">
        <is>
          <t>Letter from [community_foundation_tag]</t>
        </is>
      </c>
      <c r="C180" t="n">
        <v>0</v>
      </c>
      <c r="D180" t="n">
        <v>0</v>
      </c>
      <c r="E180" t="n">
        <v>0</v>
      </c>
      <c r="F180" t="n">
        <v>0</v>
      </c>
      <c r="G180" t="b">
        <v>0</v>
      </c>
      <c r="H180" t="n">
        <v>0</v>
      </c>
      <c r="I180" t="n">
        <v>0</v>
      </c>
      <c r="J180" t="n">
        <v>0</v>
      </c>
      <c r="K180" t="n">
        <v>0</v>
      </c>
      <c r="L180" t="n">
        <v>0</v>
      </c>
      <c r="M180" t="n">
        <v>0</v>
      </c>
      <c r="N180" t="n">
        <v>0</v>
      </c>
      <c r="O180" t="n">
        <v>0</v>
      </c>
      <c r="P180" s="7">
        <f>IF(SUM(H180:K180)=0,"",H180/SUM(H180:K180))</f>
        <v/>
      </c>
      <c r="Q180" s="7">
        <f>IF(SUM(H180:K180)=0,"",I180/SUM(H180:K180))</f>
        <v/>
      </c>
      <c r="R180" s="7">
        <f>IF(SUM(H180:K180)=0,"",J180/SUM(H180:K180))</f>
        <v/>
      </c>
      <c r="S180" s="7">
        <f>IF(SUM(H180:K180)=0,"",K180/SUM(H180:K180))</f>
        <v/>
      </c>
      <c r="T180" s="7">
        <f>IF(SUM(L180:O180)=0,"",L180/SUM(L180:O180))</f>
        <v/>
      </c>
      <c r="U180" s="7">
        <f>IF(SUM(L180:O180)=0,"",M180/SUM(L180:O180))</f>
        <v/>
      </c>
      <c r="V180" s="7">
        <f>IF(SUM(L180:O180)=0,"",N180/SUM(L180:O180))</f>
        <v/>
      </c>
      <c r="W180" s="7">
        <f>IF(SUM(L180:O180)=0,"",O180/SUM(L180:O180))</f>
        <v/>
      </c>
    </row>
    <row r="181">
      <c r="A181" t="n">
        <v>195</v>
      </c>
      <c r="B181" t="inlineStr">
        <is>
          <t>Board Chair</t>
        </is>
      </c>
      <c r="C181" t="n">
        <v>0</v>
      </c>
      <c r="D181" t="n">
        <v>1</v>
      </c>
      <c r="E181" t="n">
        <v>0</v>
      </c>
      <c r="F181" t="n">
        <v>0</v>
      </c>
      <c r="G181" t="b">
        <v>0</v>
      </c>
      <c r="H181" t="n">
        <v>0</v>
      </c>
      <c r="I181" t="n">
        <v>0</v>
      </c>
      <c r="J181" t="n">
        <v>0</v>
      </c>
      <c r="K181" t="n">
        <v>0</v>
      </c>
      <c r="L181" t="n">
        <v>2</v>
      </c>
      <c r="M181" t="n">
        <v>0</v>
      </c>
      <c r="N181" t="n">
        <v>1</v>
      </c>
      <c r="O181" t="n">
        <v>0</v>
      </c>
      <c r="P181" s="7">
        <f>IF(SUM(H181:K181)=0,"",H181/SUM(H181:K181))</f>
        <v/>
      </c>
      <c r="Q181" s="7">
        <f>IF(SUM(H181:K181)=0,"",I181/SUM(H181:K181))</f>
        <v/>
      </c>
      <c r="R181" s="7">
        <f>IF(SUM(H181:K181)=0,"",J181/SUM(H181:K181))</f>
        <v/>
      </c>
      <c r="S181" s="7">
        <f>IF(SUM(H181:K181)=0,"",K181/SUM(H181:K181))</f>
        <v/>
      </c>
      <c r="T181" s="7">
        <f>IF(SUM(L181:O181)=0,"",L181/SUM(L181:O181))</f>
        <v/>
      </c>
      <c r="U181" s="7">
        <f>IF(SUM(L181:O181)=0,"",M181/SUM(L181:O181))</f>
        <v/>
      </c>
      <c r="V181" s="7">
        <f>IF(SUM(L181:O181)=0,"",N181/SUM(L181:O181))</f>
        <v/>
      </c>
      <c r="W181" s="7">
        <f>IF(SUM(L181:O181)=0,"",O181/SUM(L181:O181))</f>
        <v/>
      </c>
    </row>
    <row r="182">
      <c r="A182" t="n">
        <v>196</v>
      </c>
      <c r="B182" t="inlineStr">
        <is>
          <t>Thank you. From the bottom of [community_foundation_tag] hearts: thank you.</t>
        </is>
      </c>
      <c r="C182" t="n">
        <v>0</v>
      </c>
      <c r="D182" t="n">
        <v>1</v>
      </c>
      <c r="E182" t="n">
        <v>0</v>
      </c>
      <c r="F182" t="n">
        <v>0</v>
      </c>
      <c r="G182" t="b">
        <v>0</v>
      </c>
      <c r="H182" t="n">
        <v>0</v>
      </c>
      <c r="I182" t="n">
        <v>0</v>
      </c>
      <c r="J182" t="n">
        <v>0</v>
      </c>
      <c r="K182" t="n">
        <v>0</v>
      </c>
      <c r="L182" t="n">
        <v>2</v>
      </c>
      <c r="M182" t="n">
        <v>1</v>
      </c>
      <c r="N182" t="n">
        <v>0</v>
      </c>
      <c r="O182" t="n">
        <v>0</v>
      </c>
      <c r="P182" s="7">
        <f>IF(SUM(H182:K182)=0,"",H182/SUM(H182:K182))</f>
        <v/>
      </c>
      <c r="Q182" s="7">
        <f>IF(SUM(H182:K182)=0,"",I182/SUM(H182:K182))</f>
        <v/>
      </c>
      <c r="R182" s="7">
        <f>IF(SUM(H182:K182)=0,"",J182/SUM(H182:K182))</f>
        <v/>
      </c>
      <c r="S182" s="7">
        <f>IF(SUM(H182:K182)=0,"",K182/SUM(H182:K182))</f>
        <v/>
      </c>
      <c r="T182" s="7">
        <f>IF(SUM(L182:O182)=0,"",L182/SUM(L182:O182))</f>
        <v/>
      </c>
      <c r="U182" s="7">
        <f>IF(SUM(L182:O182)=0,"",M182/SUM(L182:O182))</f>
        <v/>
      </c>
      <c r="V182" s="7">
        <f>IF(SUM(L182:O182)=0,"",N182/SUM(L182:O182))</f>
        <v/>
      </c>
      <c r="W182" s="7">
        <f>IF(SUM(L182:O182)=0,"",O182/SUM(L182:O182))</f>
        <v/>
      </c>
    </row>
    <row r="183">
      <c r="A183" t="n">
        <v>197</v>
      </c>
      <c r="B183" t="inlineStr">
        <is>
          <t>Because of you, [community_foundation_tag] can strongly continue the work of healing [community_foundation_tag] community in the wake of the pandemic and the economic devastation that it caused.</t>
        </is>
      </c>
      <c r="C183" t="n">
        <v>1</v>
      </c>
      <c r="D183" t="n">
        <v>2</v>
      </c>
      <c r="E183" t="n">
        <v>0</v>
      </c>
      <c r="F183" t="n">
        <v>0</v>
      </c>
      <c r="G183" t="b">
        <v>1</v>
      </c>
      <c r="H183" t="n">
        <v>2</v>
      </c>
      <c r="I183" t="n">
        <v>0</v>
      </c>
      <c r="J183" t="n">
        <v>0</v>
      </c>
      <c r="K183" t="n">
        <v>0</v>
      </c>
      <c r="L183" t="n">
        <v>4</v>
      </c>
      <c r="M183" t="n">
        <v>0</v>
      </c>
      <c r="N183" t="n">
        <v>0</v>
      </c>
      <c r="O183" t="n">
        <v>2</v>
      </c>
      <c r="P183" s="7">
        <f>IF(SUM(H183:K183)=0,"",H183/SUM(H183:K183))</f>
        <v/>
      </c>
      <c r="Q183" s="7">
        <f>IF(SUM(H183:K183)=0,"",I183/SUM(H183:K183))</f>
        <v/>
      </c>
      <c r="R183" s="7">
        <f>IF(SUM(H183:K183)=0,"",J183/SUM(H183:K183))</f>
        <v/>
      </c>
      <c r="S183" s="7">
        <f>IF(SUM(H183:K183)=0,"",K183/SUM(H183:K183))</f>
        <v/>
      </c>
      <c r="T183" s="7">
        <f>IF(SUM(L183:O183)=0,"",L183/SUM(L183:O183))</f>
        <v/>
      </c>
      <c r="U183" s="7">
        <f>IF(SUM(L183:O183)=0,"",M183/SUM(L183:O183))</f>
        <v/>
      </c>
      <c r="V183" s="7">
        <f>IF(SUM(L183:O183)=0,"",N183/SUM(L183:O183))</f>
        <v/>
      </c>
      <c r="W183" s="7">
        <f>IF(SUM(L183:O183)=0,"",O183/SUM(L183:O183))</f>
        <v/>
      </c>
    </row>
    <row r="184">
      <c r="A184" t="n">
        <v>198</v>
      </c>
      <c r="B184" t="inlineStr">
        <is>
          <t>Because of you, more resources than ever before were contributed to the annual campaign: more vulnerable people received the help and support that they needed, more challenged nonprofits were able to keep operating, and the character of the city that [community_foundation_tag] hold dear was nurtured and strengthened.</t>
        </is>
      </c>
      <c r="C184" t="n">
        <v>1</v>
      </c>
      <c r="D184" t="n">
        <v>2</v>
      </c>
      <c r="E184" t="n">
        <v>0</v>
      </c>
      <c r="F184" t="n">
        <v>0</v>
      </c>
      <c r="G184" t="b">
        <v>1</v>
      </c>
      <c r="H184" t="n">
        <v>1</v>
      </c>
      <c r="I184" t="n">
        <v>0</v>
      </c>
      <c r="J184" t="n">
        <v>0</v>
      </c>
      <c r="K184" t="n">
        <v>2</v>
      </c>
      <c r="L184" t="n">
        <v>3</v>
      </c>
      <c r="M184" t="n">
        <v>0</v>
      </c>
      <c r="N184" t="n">
        <v>0</v>
      </c>
      <c r="O184" t="n">
        <v>3</v>
      </c>
      <c r="P184" s="7">
        <f>IF(SUM(H184:K184)=0,"",H184/SUM(H184:K184))</f>
        <v/>
      </c>
      <c r="Q184" s="7">
        <f>IF(SUM(H184:K184)=0,"",I184/SUM(H184:K184))</f>
        <v/>
      </c>
      <c r="R184" s="7">
        <f>IF(SUM(H184:K184)=0,"",J184/SUM(H184:K184))</f>
        <v/>
      </c>
      <c r="S184" s="7">
        <f>IF(SUM(H184:K184)=0,"",K184/SUM(H184:K184))</f>
        <v/>
      </c>
      <c r="T184" s="7">
        <f>IF(SUM(L184:O184)=0,"",L184/SUM(L184:O184))</f>
        <v/>
      </c>
      <c r="U184" s="7">
        <f>IF(SUM(L184:O184)=0,"",M184/SUM(L184:O184))</f>
        <v/>
      </c>
      <c r="V184" s="7">
        <f>IF(SUM(L184:O184)=0,"",N184/SUM(L184:O184))</f>
        <v/>
      </c>
      <c r="W184" s="7">
        <f>IF(SUM(L184:O184)=0,"",O184/SUM(L184:O184))</f>
        <v/>
      </c>
    </row>
    <row r="185">
      <c r="A185" t="n">
        <v>199</v>
      </c>
      <c r="B185" t="inlineStr">
        <is>
          <t>[community_foundation_tag] don't intend to rest!</t>
        </is>
      </c>
      <c r="C185" t="n">
        <v>0</v>
      </c>
      <c r="D185" t="n">
        <v>0</v>
      </c>
      <c r="E185" t="n">
        <v>0</v>
      </c>
      <c r="F185" t="n">
        <v>0</v>
      </c>
      <c r="G185" t="b">
        <v>0</v>
      </c>
      <c r="H185" t="n">
        <v>0</v>
      </c>
      <c r="I185" t="n">
        <v>0</v>
      </c>
      <c r="J185" t="n">
        <v>0</v>
      </c>
      <c r="K185" t="n">
        <v>0</v>
      </c>
      <c r="L185" t="n">
        <v>0</v>
      </c>
      <c r="M185" t="n">
        <v>0</v>
      </c>
      <c r="N185" t="n">
        <v>0</v>
      </c>
      <c r="O185" t="n">
        <v>0</v>
      </c>
      <c r="P185" s="7">
        <f>IF(SUM(H185:K185)=0,"",H185/SUM(H185:K185))</f>
        <v/>
      </c>
      <c r="Q185" s="7">
        <f>IF(SUM(H185:K185)=0,"",I185/SUM(H185:K185))</f>
        <v/>
      </c>
      <c r="R185" s="7">
        <f>IF(SUM(H185:K185)=0,"",J185/SUM(H185:K185))</f>
        <v/>
      </c>
      <c r="S185" s="7">
        <f>IF(SUM(H185:K185)=0,"",K185/SUM(H185:K185))</f>
        <v/>
      </c>
      <c r="T185" s="7">
        <f>IF(SUM(L185:O185)=0,"",L185/SUM(L185:O185))</f>
        <v/>
      </c>
      <c r="U185" s="7">
        <f>IF(SUM(L185:O185)=0,"",M185/SUM(L185:O185))</f>
        <v/>
      </c>
      <c r="V185" s="7">
        <f>IF(SUM(L185:O185)=0,"",N185/SUM(L185:O185))</f>
        <v/>
      </c>
      <c r="W185" s="7">
        <f>IF(SUM(L185:O185)=0,"",O185/SUM(L185:O185))</f>
        <v/>
      </c>
    </row>
    <row r="186">
      <c r="A186" t="n">
        <v>200</v>
      </c>
      <c r="B186" t="inlineStr">
        <is>
          <t>Fresh from working through a strategic planning exercise which centers racial justice, lifting community voices and developing the financial resources that [community_foundation_tag] need to address community harms, [community_foundation_tag] as a Board and organization are excited for the work ahead, ready to face the challenges to making [community_foundation_tag] vision come true.</t>
        </is>
      </c>
      <c r="C186" t="n">
        <v>2</v>
      </c>
      <c r="D186" t="n">
        <v>2</v>
      </c>
      <c r="E186" t="n">
        <v>0</v>
      </c>
      <c r="F186" t="n">
        <v>0</v>
      </c>
      <c r="G186" t="b">
        <v>1</v>
      </c>
      <c r="H186" t="n">
        <v>0</v>
      </c>
      <c r="I186" t="n">
        <v>0</v>
      </c>
      <c r="J186" t="n">
        <v>0</v>
      </c>
      <c r="K186" t="n">
        <v>4</v>
      </c>
      <c r="L186" t="n">
        <v>0</v>
      </c>
      <c r="M186" t="n">
        <v>0</v>
      </c>
      <c r="N186" t="n">
        <v>2</v>
      </c>
      <c r="O186" t="n">
        <v>4</v>
      </c>
      <c r="P186" s="7">
        <f>IF(SUM(H186:K186)=0,"",H186/SUM(H186:K186))</f>
        <v/>
      </c>
      <c r="Q186" s="7">
        <f>IF(SUM(H186:K186)=0,"",I186/SUM(H186:K186))</f>
        <v/>
      </c>
      <c r="R186" s="7">
        <f>IF(SUM(H186:K186)=0,"",J186/SUM(H186:K186))</f>
        <v/>
      </c>
      <c r="S186" s="7">
        <f>IF(SUM(H186:K186)=0,"",K186/SUM(H186:K186))</f>
        <v/>
      </c>
      <c r="T186" s="7">
        <f>IF(SUM(L186:O186)=0,"",L186/SUM(L186:O186))</f>
        <v/>
      </c>
      <c r="U186" s="7">
        <f>IF(SUM(L186:O186)=0,"",M186/SUM(L186:O186))</f>
        <v/>
      </c>
      <c r="V186" s="7">
        <f>IF(SUM(L186:O186)=0,"",N186/SUM(L186:O186))</f>
        <v/>
      </c>
      <c r="W186" s="7">
        <f>IF(SUM(L186:O186)=0,"",O186/SUM(L186:O186))</f>
        <v/>
      </c>
    </row>
    <row r="187">
      <c r="A187" t="n">
        <v>201</v>
      </c>
      <c r="B187" t="inlineStr">
        <is>
          <t>[community_foundation_tag] is truly 'here for good,' in all meanings of this phrase.</t>
        </is>
      </c>
      <c r="C187" t="n">
        <v>1</v>
      </c>
      <c r="D187" t="n">
        <v>1</v>
      </c>
      <c r="E187" t="n">
        <v>0</v>
      </c>
      <c r="F187" t="n">
        <v>0</v>
      </c>
      <c r="G187" t="b">
        <v>1</v>
      </c>
      <c r="H187" t="n">
        <v>2</v>
      </c>
      <c r="I187" t="n">
        <v>0</v>
      </c>
      <c r="J187" t="n">
        <v>0</v>
      </c>
      <c r="K187" t="n">
        <v>0</v>
      </c>
      <c r="L187" t="n">
        <v>2</v>
      </c>
      <c r="M187" t="n">
        <v>0</v>
      </c>
      <c r="N187" t="n">
        <v>0</v>
      </c>
      <c r="O187" t="n">
        <v>1</v>
      </c>
      <c r="P187" s="7">
        <f>IF(SUM(H187:K187)=0,"",H187/SUM(H187:K187))</f>
        <v/>
      </c>
      <c r="Q187" s="7">
        <f>IF(SUM(H187:K187)=0,"",I187/SUM(H187:K187))</f>
        <v/>
      </c>
      <c r="R187" s="7">
        <f>IF(SUM(H187:K187)=0,"",J187/SUM(H187:K187))</f>
        <v/>
      </c>
      <c r="S187" s="7">
        <f>IF(SUM(H187:K187)=0,"",K187/SUM(H187:K187))</f>
        <v/>
      </c>
      <c r="T187" s="7">
        <f>IF(SUM(L187:O187)=0,"",L187/SUM(L187:O187))</f>
        <v/>
      </c>
      <c r="U187" s="7">
        <f>IF(SUM(L187:O187)=0,"",M187/SUM(L187:O187))</f>
        <v/>
      </c>
      <c r="V187" s="7">
        <f>IF(SUM(L187:O187)=0,"",N187/SUM(L187:O187))</f>
        <v/>
      </c>
      <c r="W187" s="7">
        <f>IF(SUM(L187:O187)=0,"",O187/SUM(L187:O187))</f>
        <v/>
      </c>
    </row>
    <row r="188">
      <c r="A188" t="n">
        <v>202</v>
      </c>
      <c r="B188" t="inlineStr">
        <is>
          <t>[community_foundation_tag]'s reputation as the indispensable organization in [community_foundation_tag] community is a testament to the foresight of [community_foundation_tag] founders 35 years ago. These visionaries recognized that a community like Evanston needed an organization dedicated to forging partnerships across [community_foundation_tag] strong nonprofit community. Guided by committed Board and staff members, donors and supporters, and [community_foundation_tag] beloved Evanston community, [community_foundation_tag] serves as a catalyst to [community_foundation_tag] nonprofits and multiplier of their impact, while also identifying and addressing unmet needs.</t>
        </is>
      </c>
      <c r="C188" t="n">
        <v>1</v>
      </c>
      <c r="D188" t="n">
        <v>4</v>
      </c>
      <c r="E188" t="n">
        <v>0</v>
      </c>
      <c r="F188" t="n">
        <v>0</v>
      </c>
      <c r="G188" t="b">
        <v>1</v>
      </c>
      <c r="H188" t="n">
        <v>2</v>
      </c>
      <c r="I188" t="n">
        <v>0</v>
      </c>
      <c r="J188" t="n">
        <v>1</v>
      </c>
      <c r="K188" t="n">
        <v>0</v>
      </c>
      <c r="L188" t="n">
        <v>7</v>
      </c>
      <c r="M188" t="n">
        <v>0</v>
      </c>
      <c r="N188" t="n">
        <v>5</v>
      </c>
      <c r="O188" t="n">
        <v>0</v>
      </c>
      <c r="P188" s="7">
        <f>IF(SUM(H188:K188)=0,"",H188/SUM(H188:K188))</f>
        <v/>
      </c>
      <c r="Q188" s="7">
        <f>IF(SUM(H188:K188)=0,"",I188/SUM(H188:K188))</f>
        <v/>
      </c>
      <c r="R188" s="7">
        <f>IF(SUM(H188:K188)=0,"",J188/SUM(H188:K188))</f>
        <v/>
      </c>
      <c r="S188" s="7">
        <f>IF(SUM(H188:K188)=0,"",K188/SUM(H188:K188))</f>
        <v/>
      </c>
      <c r="T188" s="7">
        <f>IF(SUM(L188:O188)=0,"",L188/SUM(L188:O188))</f>
        <v/>
      </c>
      <c r="U188" s="7">
        <f>IF(SUM(L188:O188)=0,"",M188/SUM(L188:O188))</f>
        <v/>
      </c>
      <c r="V188" s="7">
        <f>IF(SUM(L188:O188)=0,"",N188/SUM(L188:O188))</f>
        <v/>
      </c>
      <c r="W188" s="7">
        <f>IF(SUM(L188:O188)=0,"",O188/SUM(L188:O188))</f>
        <v/>
      </c>
    </row>
    <row r="189">
      <c r="A189" t="n">
        <v>203</v>
      </c>
      <c r="B189" t="inlineStr">
        <is>
          <t>I am so very proud of [community_foundation_tag] and excited for [community_foundation_tag] future. As [community_foundation_tag] embark upon this new era under [community_foundation_tag] President &amp;amp; CEO [individual_tag], I invite you to join me in supporting the important work of [community_foundation_tag].</t>
        </is>
      </c>
      <c r="C189" t="n">
        <v>0</v>
      </c>
      <c r="D189" t="n">
        <v>1</v>
      </c>
      <c r="E189" t="n">
        <v>0</v>
      </c>
      <c r="F189" t="n">
        <v>0</v>
      </c>
      <c r="G189" t="b">
        <v>0</v>
      </c>
      <c r="H189" t="n">
        <v>0</v>
      </c>
      <c r="I189" t="n">
        <v>0</v>
      </c>
      <c r="J189" t="n">
        <v>0</v>
      </c>
      <c r="K189" t="n">
        <v>0</v>
      </c>
      <c r="L189" t="n">
        <v>2</v>
      </c>
      <c r="M189" t="n">
        <v>1</v>
      </c>
      <c r="N189" t="n">
        <v>0</v>
      </c>
      <c r="O189" t="n">
        <v>0</v>
      </c>
      <c r="P189" s="7">
        <f>IF(SUM(H189:K189)=0,"",H189/SUM(H189:K189))</f>
        <v/>
      </c>
      <c r="Q189" s="7">
        <f>IF(SUM(H189:K189)=0,"",I189/SUM(H189:K189))</f>
        <v/>
      </c>
      <c r="R189" s="7">
        <f>IF(SUM(H189:K189)=0,"",J189/SUM(H189:K189))</f>
        <v/>
      </c>
      <c r="S189" s="7">
        <f>IF(SUM(H189:K189)=0,"",K189/SUM(H189:K189))</f>
        <v/>
      </c>
      <c r="T189" s="7">
        <f>IF(SUM(L189:O189)=0,"",L189/SUM(L189:O189))</f>
        <v/>
      </c>
      <c r="U189" s="7">
        <f>IF(SUM(L189:O189)=0,"",M189/SUM(L189:O189))</f>
        <v/>
      </c>
      <c r="V189" s="7">
        <f>IF(SUM(L189:O189)=0,"",N189/SUM(L189:O189))</f>
        <v/>
      </c>
      <c r="W189" s="7">
        <f>IF(SUM(L189:O189)=0,"",O189/SUM(L189:O189))</f>
        <v/>
      </c>
    </row>
    <row r="190">
      <c r="A190" t="n">
        <v>204</v>
      </c>
      <c r="B190" t="inlineStr">
        <is>
          <t>Most cordially yours,</t>
        </is>
      </c>
      <c r="C190" t="n">
        <v>0</v>
      </c>
      <c r="D190" t="n">
        <v>0</v>
      </c>
      <c r="E190" t="n">
        <v>0</v>
      </c>
      <c r="F190" t="n">
        <v>0</v>
      </c>
      <c r="G190" t="b">
        <v>0</v>
      </c>
      <c r="H190" t="n">
        <v>0</v>
      </c>
      <c r="I190" t="n">
        <v>0</v>
      </c>
      <c r="J190" t="n">
        <v>0</v>
      </c>
      <c r="K190" t="n">
        <v>0</v>
      </c>
      <c r="L190" t="n">
        <v>0</v>
      </c>
      <c r="M190" t="n">
        <v>0</v>
      </c>
      <c r="N190" t="n">
        <v>0</v>
      </c>
      <c r="O190" t="n">
        <v>0</v>
      </c>
      <c r="P190" s="7">
        <f>IF(SUM(H190:K190)=0,"",H190/SUM(H190:K190))</f>
        <v/>
      </c>
      <c r="Q190" s="7">
        <f>IF(SUM(H190:K190)=0,"",I190/SUM(H190:K190))</f>
        <v/>
      </c>
      <c r="R190" s="7">
        <f>IF(SUM(H190:K190)=0,"",J190/SUM(H190:K190))</f>
        <v/>
      </c>
      <c r="S190" s="7">
        <f>IF(SUM(H190:K190)=0,"",K190/SUM(H190:K190))</f>
        <v/>
      </c>
      <c r="T190" s="7">
        <f>IF(SUM(L190:O190)=0,"",L190/SUM(L190:O190))</f>
        <v/>
      </c>
      <c r="U190" s="7">
        <f>IF(SUM(L190:O190)=0,"",M190/SUM(L190:O190))</f>
        <v/>
      </c>
      <c r="V190" s="7">
        <f>IF(SUM(L190:O190)=0,"",N190/SUM(L190:O190))</f>
        <v/>
      </c>
      <c r="W190" s="7">
        <f>IF(SUM(L190:O190)=0,"",O190/SUM(L190:O190))</f>
        <v/>
      </c>
    </row>
    <row r="191">
      <c r="A191" t="n">
        <v>206</v>
      </c>
      <c r="B191" t="inlineStr">
        <is>
          <t>Board Chair</t>
        </is>
      </c>
      <c r="C191" t="n">
        <v>0</v>
      </c>
      <c r="D191" t="n">
        <v>1</v>
      </c>
      <c r="E191" t="n">
        <v>0</v>
      </c>
      <c r="F191" t="n">
        <v>0</v>
      </c>
      <c r="G191" t="b">
        <v>0</v>
      </c>
      <c r="H191" t="n">
        <v>0</v>
      </c>
      <c r="I191" t="n">
        <v>0</v>
      </c>
      <c r="J191" t="n">
        <v>0</v>
      </c>
      <c r="K191" t="n">
        <v>0</v>
      </c>
      <c r="L191" t="n">
        <v>2</v>
      </c>
      <c r="M191" t="n">
        <v>0</v>
      </c>
      <c r="N191" t="n">
        <v>1</v>
      </c>
      <c r="O191" t="n">
        <v>0</v>
      </c>
      <c r="P191" s="7">
        <f>IF(SUM(H191:K191)=0,"",H191/SUM(H191:K191))</f>
        <v/>
      </c>
      <c r="Q191" s="7">
        <f>IF(SUM(H191:K191)=0,"",I191/SUM(H191:K191))</f>
        <v/>
      </c>
      <c r="R191" s="7">
        <f>IF(SUM(H191:K191)=0,"",J191/SUM(H191:K191))</f>
        <v/>
      </c>
      <c r="S191" s="7">
        <f>IF(SUM(H191:K191)=0,"",K191/SUM(H191:K191))</f>
        <v/>
      </c>
      <c r="T191" s="7">
        <f>IF(SUM(L191:O191)=0,"",L191/SUM(L191:O191))</f>
        <v/>
      </c>
      <c r="U191" s="7">
        <f>IF(SUM(L191:O191)=0,"",M191/SUM(L191:O191))</f>
        <v/>
      </c>
      <c r="V191" s="7">
        <f>IF(SUM(L191:O191)=0,"",N191/SUM(L191:O191))</f>
        <v/>
      </c>
      <c r="W191" s="7">
        <f>IF(SUM(L191:O191)=0,"",O191/SUM(L191:O191))</f>
        <v/>
      </c>
    </row>
    <row r="192">
      <c r="A192" t="n">
        <v>207</v>
      </c>
      <c r="B192" t="inlineStr">
        <is>
          <t>2021 in review</t>
        </is>
      </c>
      <c r="C192" t="n">
        <v>0</v>
      </c>
      <c r="D192" t="n">
        <v>0</v>
      </c>
      <c r="E192" t="n">
        <v>0</v>
      </c>
      <c r="F192" t="n">
        <v>0</v>
      </c>
      <c r="G192" t="b">
        <v>0</v>
      </c>
      <c r="H192" t="n">
        <v>0</v>
      </c>
      <c r="I192" t="n">
        <v>0</v>
      </c>
      <c r="J192" t="n">
        <v>0</v>
      </c>
      <c r="K192" t="n">
        <v>0</v>
      </c>
      <c r="L192" t="n">
        <v>0</v>
      </c>
      <c r="M192" t="n">
        <v>0</v>
      </c>
      <c r="N192" t="n">
        <v>0</v>
      </c>
      <c r="O192" t="n">
        <v>0</v>
      </c>
      <c r="P192" s="7">
        <f>IF(SUM(H192:K192)=0,"",H192/SUM(H192:K192))</f>
        <v/>
      </c>
      <c r="Q192" s="7">
        <f>IF(SUM(H192:K192)=0,"",I192/SUM(H192:K192))</f>
        <v/>
      </c>
      <c r="R192" s="7">
        <f>IF(SUM(H192:K192)=0,"",J192/SUM(H192:K192))</f>
        <v/>
      </c>
      <c r="S192" s="7">
        <f>IF(SUM(H192:K192)=0,"",K192/SUM(H192:K192))</f>
        <v/>
      </c>
      <c r="T192" s="7">
        <f>IF(SUM(L192:O192)=0,"",L192/SUM(L192:O192))</f>
        <v/>
      </c>
      <c r="U192" s="7">
        <f>IF(SUM(L192:O192)=0,"",M192/SUM(L192:O192))</f>
        <v/>
      </c>
      <c r="V192" s="7">
        <f>IF(SUM(L192:O192)=0,"",N192/SUM(L192:O192))</f>
        <v/>
      </c>
      <c r="W192" s="7">
        <f>IF(SUM(L192:O192)=0,"",O192/SUM(L192:O192))</f>
        <v/>
      </c>
    </row>
    <row r="193">
      <c r="A193" t="n">
        <v>208</v>
      </c>
      <c r="B193" t="inlineStr">
        <is>
          <t>The last two years have been a time of challenge, opportunity, and assessment.</t>
        </is>
      </c>
      <c r="C193" t="n">
        <v>0</v>
      </c>
      <c r="D193" t="n">
        <v>0</v>
      </c>
      <c r="E193" t="n">
        <v>0</v>
      </c>
      <c r="F193" t="n">
        <v>0</v>
      </c>
      <c r="G193" t="b">
        <v>0</v>
      </c>
      <c r="H193" t="n">
        <v>0</v>
      </c>
      <c r="I193" t="n">
        <v>0</v>
      </c>
      <c r="J193" t="n">
        <v>0</v>
      </c>
      <c r="K193" t="n">
        <v>0</v>
      </c>
      <c r="L193" t="n">
        <v>0</v>
      </c>
      <c r="M193" t="n">
        <v>0</v>
      </c>
      <c r="N193" t="n">
        <v>0</v>
      </c>
      <c r="O193" t="n">
        <v>0</v>
      </c>
      <c r="P193" s="7">
        <f>IF(SUM(H193:K193)=0,"",H193/SUM(H193:K193))</f>
        <v/>
      </c>
      <c r="Q193" s="7">
        <f>IF(SUM(H193:K193)=0,"",I193/SUM(H193:K193))</f>
        <v/>
      </c>
      <c r="R193" s="7">
        <f>IF(SUM(H193:K193)=0,"",J193/SUM(H193:K193))</f>
        <v/>
      </c>
      <c r="S193" s="7">
        <f>IF(SUM(H193:K193)=0,"",K193/SUM(H193:K193))</f>
        <v/>
      </c>
      <c r="T193" s="7">
        <f>IF(SUM(L193:O193)=0,"",L193/SUM(L193:O193))</f>
        <v/>
      </c>
      <c r="U193" s="7">
        <f>IF(SUM(L193:O193)=0,"",M193/SUM(L193:O193))</f>
        <v/>
      </c>
      <c r="V193" s="7">
        <f>IF(SUM(L193:O193)=0,"",N193/SUM(L193:O193))</f>
        <v/>
      </c>
      <c r="W193" s="7">
        <f>IF(SUM(L193:O193)=0,"",O193/SUM(L193:O193))</f>
        <v/>
      </c>
    </row>
    <row r="194">
      <c r="A194" t="n">
        <v>209</v>
      </c>
      <c r="B194" t="inlineStr">
        <is>
          <t>In 2020, [community_foundation_tag] created the Evanston Community Rapid Response Fund (ECRRF) in response to COVID in [community_foundation_tag] community and to address the need for relief, recovery, and rebuilding. [community_foundation_tag] Rapid Response experience taught [community_foundation_tag] new ways to think about investing in [community_foundation_tag] community, and informed [community_foundation_tag] work in 2021.</t>
        </is>
      </c>
      <c r="C194" t="n">
        <v>1</v>
      </c>
      <c r="D194" t="n">
        <v>2</v>
      </c>
      <c r="E194" t="n">
        <v>0</v>
      </c>
      <c r="F194" t="n">
        <v>0</v>
      </c>
      <c r="G194" t="b">
        <v>1</v>
      </c>
      <c r="H194" t="n">
        <v>2</v>
      </c>
      <c r="I194" t="n">
        <v>0</v>
      </c>
      <c r="J194" t="n">
        <v>0</v>
      </c>
      <c r="K194" t="n">
        <v>0</v>
      </c>
      <c r="L194" t="n">
        <v>4</v>
      </c>
      <c r="M194" t="n">
        <v>0</v>
      </c>
      <c r="N194" t="n">
        <v>2</v>
      </c>
      <c r="O194" t="n">
        <v>0</v>
      </c>
      <c r="P194" s="7">
        <f>IF(SUM(H194:K194)=0,"",H194/SUM(H194:K194))</f>
        <v/>
      </c>
      <c r="Q194" s="7">
        <f>IF(SUM(H194:K194)=0,"",I194/SUM(H194:K194))</f>
        <v/>
      </c>
      <c r="R194" s="7">
        <f>IF(SUM(H194:K194)=0,"",J194/SUM(H194:K194))</f>
        <v/>
      </c>
      <c r="S194" s="7">
        <f>IF(SUM(H194:K194)=0,"",K194/SUM(H194:K194))</f>
        <v/>
      </c>
      <c r="T194" s="7">
        <f>IF(SUM(L194:O194)=0,"",L194/SUM(L194:O194))</f>
        <v/>
      </c>
      <c r="U194" s="7">
        <f>IF(SUM(L194:O194)=0,"",M194/SUM(L194:O194))</f>
        <v/>
      </c>
      <c r="V194" s="7">
        <f>IF(SUM(L194:O194)=0,"",N194/SUM(L194:O194))</f>
        <v/>
      </c>
      <c r="W194" s="7">
        <f>IF(SUM(L194:O194)=0,"",O194/SUM(L194:O194))</f>
        <v/>
      </c>
    </row>
    <row r="195">
      <c r="A195" t="n">
        <v>210</v>
      </c>
      <c r="B195" t="inlineStr">
        <is>
          <t>[community_foundation_tag] has deepened its commitment to  be an equitable, just, and vibrant community. [community_foundation_tag]'ve taken a hard look at [community_foundation_tag] work and impact, and [community_foundation_tag]'ve evolved [community_foundation_tag] processes to build deeper partnerships with established nonprofits and startups, businesses, and government, joining together to really hear community voice.</t>
        </is>
      </c>
      <c r="C195" t="n">
        <v>1</v>
      </c>
      <c r="D195" t="n">
        <v>2</v>
      </c>
      <c r="E195" t="n">
        <v>0</v>
      </c>
      <c r="F195" t="n">
        <v>0</v>
      </c>
      <c r="G195" t="b">
        <v>1</v>
      </c>
      <c r="H195" t="n">
        <v>0</v>
      </c>
      <c r="I195" t="n">
        <v>0</v>
      </c>
      <c r="J195" t="n">
        <v>1</v>
      </c>
      <c r="K195" t="n">
        <v>2</v>
      </c>
      <c r="L195" t="n">
        <v>0</v>
      </c>
      <c r="M195" t="n">
        <v>0</v>
      </c>
      <c r="N195" t="n">
        <v>3</v>
      </c>
      <c r="O195" t="n">
        <v>3</v>
      </c>
      <c r="P195" s="7">
        <f>IF(SUM(H195:K195)=0,"",H195/SUM(H195:K195))</f>
        <v/>
      </c>
      <c r="Q195" s="7">
        <f>IF(SUM(H195:K195)=0,"",I195/SUM(H195:K195))</f>
        <v/>
      </c>
      <c r="R195" s="7">
        <f>IF(SUM(H195:K195)=0,"",J195/SUM(H195:K195))</f>
        <v/>
      </c>
      <c r="S195" s="7">
        <f>IF(SUM(H195:K195)=0,"",K195/SUM(H195:K195))</f>
        <v/>
      </c>
      <c r="T195" s="7">
        <f>IF(SUM(L195:O195)=0,"",L195/SUM(L195:O195))</f>
        <v/>
      </c>
      <c r="U195" s="7">
        <f>IF(SUM(L195:O195)=0,"",M195/SUM(L195:O195))</f>
        <v/>
      </c>
      <c r="V195" s="7">
        <f>IF(SUM(L195:O195)=0,"",N195/SUM(L195:O195))</f>
        <v/>
      </c>
      <c r="W195" s="7">
        <f>IF(SUM(L195:O195)=0,"",O195/SUM(L195:O195))</f>
        <v/>
      </c>
    </row>
    <row r="196">
      <c r="A196" t="n">
        <v>211</v>
      </c>
      <c r="B196" t="inlineStr">
        <is>
          <t>In 2021, [community_foundation_tag] wound down ECRRF grantmaking and created new grant programs focused on equitable innovation, nonprofit growth and sustainability, cohort learning, and collective and enduring initiatives. Here's how [community_foundation_tag] invested in Evanston in 2021:</t>
        </is>
      </c>
      <c r="C196" t="n">
        <v>1</v>
      </c>
      <c r="D196" t="n">
        <v>1</v>
      </c>
      <c r="E196" t="n">
        <v>0</v>
      </c>
      <c r="F196" t="n">
        <v>0</v>
      </c>
      <c r="G196" t="b">
        <v>1</v>
      </c>
      <c r="H196" t="n">
        <v>0</v>
      </c>
      <c r="I196" t="n">
        <v>0</v>
      </c>
      <c r="J196" t="n">
        <v>2</v>
      </c>
      <c r="K196" t="n">
        <v>1</v>
      </c>
      <c r="L196" t="n">
        <v>0</v>
      </c>
      <c r="M196" t="n">
        <v>0</v>
      </c>
      <c r="N196" t="n">
        <v>2</v>
      </c>
      <c r="O196" t="n">
        <v>1</v>
      </c>
      <c r="P196" s="7">
        <f>IF(SUM(H196:K196)=0,"",H196/SUM(H196:K196))</f>
        <v/>
      </c>
      <c r="Q196" s="7">
        <f>IF(SUM(H196:K196)=0,"",I196/SUM(H196:K196))</f>
        <v/>
      </c>
      <c r="R196" s="7">
        <f>IF(SUM(H196:K196)=0,"",J196/SUM(H196:K196))</f>
        <v/>
      </c>
      <c r="S196" s="7">
        <f>IF(SUM(H196:K196)=0,"",K196/SUM(H196:K196))</f>
        <v/>
      </c>
      <c r="T196" s="7">
        <f>IF(SUM(L196:O196)=0,"",L196/SUM(L196:O196))</f>
        <v/>
      </c>
      <c r="U196" s="7">
        <f>IF(SUM(L196:O196)=0,"",M196/SUM(L196:O196))</f>
        <v/>
      </c>
      <c r="V196" s="7">
        <f>IF(SUM(L196:O196)=0,"",N196/SUM(L196:O196))</f>
        <v/>
      </c>
      <c r="W196" s="7">
        <f>IF(SUM(L196:O196)=0,"",O196/SUM(L196:O196))</f>
        <v/>
      </c>
    </row>
    <row r="197">
      <c r="A197" t="n">
        <v>213</v>
      </c>
      <c r="B197" t="inlineStr">
        <is>
          <t>Community-Centered grants</t>
        </is>
      </c>
      <c r="C197" t="n">
        <v>1</v>
      </c>
      <c r="D197" t="n">
        <v>0</v>
      </c>
      <c r="E197" t="n">
        <v>0</v>
      </c>
      <c r="F197" t="n">
        <v>0</v>
      </c>
      <c r="G197" t="b">
        <v>0</v>
      </c>
      <c r="H197" t="n">
        <v>0</v>
      </c>
      <c r="I197" t="n">
        <v>0</v>
      </c>
      <c r="J197" t="n">
        <v>0</v>
      </c>
      <c r="K197" t="n">
        <v>2</v>
      </c>
      <c r="L197" t="n">
        <v>0</v>
      </c>
      <c r="M197" t="n">
        <v>0</v>
      </c>
      <c r="N197" t="n">
        <v>0</v>
      </c>
      <c r="O197" t="n">
        <v>0</v>
      </c>
      <c r="P197" s="7">
        <f>IF(SUM(H197:K197)=0,"",H197/SUM(H197:K197))</f>
        <v/>
      </c>
      <c r="Q197" s="7">
        <f>IF(SUM(H197:K197)=0,"",I197/SUM(H197:K197))</f>
        <v/>
      </c>
      <c r="R197" s="7">
        <f>IF(SUM(H197:K197)=0,"",J197/SUM(H197:K197))</f>
        <v/>
      </c>
      <c r="S197" s="7">
        <f>IF(SUM(H197:K197)=0,"",K197/SUM(H197:K197))</f>
        <v/>
      </c>
      <c r="T197" s="7">
        <f>IF(SUM(L197:O197)=0,"",L197/SUM(L197:O197))</f>
        <v/>
      </c>
      <c r="U197" s="7">
        <f>IF(SUM(L197:O197)=0,"",M197/SUM(L197:O197))</f>
        <v/>
      </c>
      <c r="V197" s="7">
        <f>IF(SUM(L197:O197)=0,"",N197/SUM(L197:O197))</f>
        <v/>
      </c>
      <c r="W197" s="7">
        <f>IF(SUM(L197:O197)=0,"",O197/SUM(L197:O197))</f>
        <v/>
      </c>
    </row>
    <row r="198">
      <c r="A198" t="n">
        <v>214</v>
      </c>
      <c r="B198" t="inlineStr">
        <is>
          <t>Recipients of Collective &amp;amp; Enduring, E-Town Innovation, Immediate Needs, and Nonprofit Growth &amp;amp; Sustainability Grants</t>
        </is>
      </c>
      <c r="C198" t="n">
        <v>1</v>
      </c>
      <c r="D198" t="n">
        <v>1</v>
      </c>
      <c r="E198" t="n">
        <v>0</v>
      </c>
      <c r="F198" t="n">
        <v>0</v>
      </c>
      <c r="G198" t="b">
        <v>1</v>
      </c>
      <c r="H198" t="n">
        <v>1</v>
      </c>
      <c r="I198" t="n">
        <v>0</v>
      </c>
      <c r="J198" t="n">
        <v>2</v>
      </c>
      <c r="K198" t="n">
        <v>0</v>
      </c>
      <c r="L198" t="n">
        <v>0</v>
      </c>
      <c r="M198" t="n">
        <v>0</v>
      </c>
      <c r="N198" t="n">
        <v>2</v>
      </c>
      <c r="O198" t="n">
        <v>1</v>
      </c>
      <c r="P198" s="7">
        <f>IF(SUM(H198:K198)=0,"",H198/SUM(H198:K198))</f>
        <v/>
      </c>
      <c r="Q198" s="7">
        <f>IF(SUM(H198:K198)=0,"",I198/SUM(H198:K198))</f>
        <v/>
      </c>
      <c r="R198" s="7">
        <f>IF(SUM(H198:K198)=0,"",J198/SUM(H198:K198))</f>
        <v/>
      </c>
      <c r="S198" s="7">
        <f>IF(SUM(H198:K198)=0,"",K198/SUM(H198:K198))</f>
        <v/>
      </c>
      <c r="T198" s="7">
        <f>IF(SUM(L198:O198)=0,"",L198/SUM(L198:O198))</f>
        <v/>
      </c>
      <c r="U198" s="7">
        <f>IF(SUM(L198:O198)=0,"",M198/SUM(L198:O198))</f>
        <v/>
      </c>
      <c r="V198" s="7">
        <f>IF(SUM(L198:O198)=0,"",N198/SUM(L198:O198))</f>
        <v/>
      </c>
      <c r="W198" s="7">
        <f>IF(SUM(L198:O198)=0,"",O198/SUM(L198:O198))</f>
        <v/>
      </c>
    </row>
    <row r="199">
      <c r="A199" t="n">
        <v>215</v>
      </c>
      <c r="B199" t="inlineStr">
        <is>
          <t>The Actors Gymnasium Alliance to End Homelessness in Suburban</t>
        </is>
      </c>
      <c r="C199" t="n">
        <v>0</v>
      </c>
      <c r="D199" t="n">
        <v>1</v>
      </c>
      <c r="E199" t="n">
        <v>0</v>
      </c>
      <c r="F199" t="n">
        <v>0</v>
      </c>
      <c r="G199" t="b">
        <v>0</v>
      </c>
      <c r="H199" t="n">
        <v>0</v>
      </c>
      <c r="I199" t="n">
        <v>0</v>
      </c>
      <c r="J199" t="n">
        <v>0</v>
      </c>
      <c r="K199" t="n">
        <v>0</v>
      </c>
      <c r="L199" t="n">
        <v>1</v>
      </c>
      <c r="M199" t="n">
        <v>0</v>
      </c>
      <c r="N199" t="n">
        <v>0</v>
      </c>
      <c r="O199" t="n">
        <v>2</v>
      </c>
      <c r="P199" s="7">
        <f>IF(SUM(H199:K199)=0,"",H199/SUM(H199:K199))</f>
        <v/>
      </c>
      <c r="Q199" s="7">
        <f>IF(SUM(H199:K199)=0,"",I199/SUM(H199:K199))</f>
        <v/>
      </c>
      <c r="R199" s="7">
        <f>IF(SUM(H199:K199)=0,"",J199/SUM(H199:K199))</f>
        <v/>
      </c>
      <c r="S199" s="7">
        <f>IF(SUM(H199:K199)=0,"",K199/SUM(H199:K199))</f>
        <v/>
      </c>
      <c r="T199" s="7">
        <f>IF(SUM(L199:O199)=0,"",L199/SUM(L199:O199))</f>
        <v/>
      </c>
      <c r="U199" s="7">
        <f>IF(SUM(L199:O199)=0,"",M199/SUM(L199:O199))</f>
        <v/>
      </c>
      <c r="V199" s="7">
        <f>IF(SUM(L199:O199)=0,"",N199/SUM(L199:O199))</f>
        <v/>
      </c>
      <c r="W199" s="7">
        <f>IF(SUM(L199:O199)=0,"",O199/SUM(L199:O199))</f>
        <v/>
      </c>
    </row>
    <row r="200">
      <c r="A200" t="n">
        <v>216</v>
      </c>
      <c r="B200" t="inlineStr">
        <is>
          <t>Cook County</t>
        </is>
      </c>
      <c r="C200" t="n">
        <v>0</v>
      </c>
      <c r="D200" t="n">
        <v>0</v>
      </c>
      <c r="E200" t="n">
        <v>0</v>
      </c>
      <c r="F200" t="n">
        <v>0</v>
      </c>
      <c r="G200" t="b">
        <v>0</v>
      </c>
      <c r="H200" t="n">
        <v>0</v>
      </c>
      <c r="I200" t="n">
        <v>0</v>
      </c>
      <c r="J200" t="n">
        <v>0</v>
      </c>
      <c r="K200" t="n">
        <v>0</v>
      </c>
      <c r="L200" t="n">
        <v>0</v>
      </c>
      <c r="M200" t="n">
        <v>0</v>
      </c>
      <c r="N200" t="n">
        <v>0</v>
      </c>
      <c r="O200" t="n">
        <v>0</v>
      </c>
      <c r="P200" s="7">
        <f>IF(SUM(H200:K200)=0,"",H200/SUM(H200:K200))</f>
        <v/>
      </c>
      <c r="Q200" s="7">
        <f>IF(SUM(H200:K200)=0,"",I200/SUM(H200:K200))</f>
        <v/>
      </c>
      <c r="R200" s="7">
        <f>IF(SUM(H200:K200)=0,"",J200/SUM(H200:K200))</f>
        <v/>
      </c>
      <c r="S200" s="7">
        <f>IF(SUM(H200:K200)=0,"",K200/SUM(H200:K200))</f>
        <v/>
      </c>
      <c r="T200" s="7">
        <f>IF(SUM(L200:O200)=0,"",L200/SUM(L200:O200))</f>
        <v/>
      </c>
      <c r="U200" s="7">
        <f>IF(SUM(L200:O200)=0,"",M200/SUM(L200:O200))</f>
        <v/>
      </c>
      <c r="V200" s="7">
        <f>IF(SUM(L200:O200)=0,"",N200/SUM(L200:O200))</f>
        <v/>
      </c>
      <c r="W200" s="7">
        <f>IF(SUM(L200:O200)=0,"",O200/SUM(L200:O200))</f>
        <v/>
      </c>
    </row>
    <row r="201">
      <c r="A201" t="n">
        <v>217</v>
      </c>
      <c r="B201" t="inlineStr">
        <is>
          <t>Art Encounter</t>
        </is>
      </c>
      <c r="C201" t="n">
        <v>0</v>
      </c>
      <c r="D201" t="n">
        <v>1</v>
      </c>
      <c r="E201" t="n">
        <v>0</v>
      </c>
      <c r="F201" t="n">
        <v>0</v>
      </c>
      <c r="G201" t="b">
        <v>0</v>
      </c>
      <c r="H201" t="n">
        <v>0</v>
      </c>
      <c r="I201" t="n">
        <v>0</v>
      </c>
      <c r="J201" t="n">
        <v>0</v>
      </c>
      <c r="K201" t="n">
        <v>0</v>
      </c>
      <c r="L201" t="n">
        <v>2</v>
      </c>
      <c r="M201" t="n">
        <v>1</v>
      </c>
      <c r="N201" t="n">
        <v>0</v>
      </c>
      <c r="O201" t="n">
        <v>0</v>
      </c>
      <c r="P201" s="7">
        <f>IF(SUM(H201:K201)=0,"",H201/SUM(H201:K201))</f>
        <v/>
      </c>
      <c r="Q201" s="7">
        <f>IF(SUM(H201:K201)=0,"",I201/SUM(H201:K201))</f>
        <v/>
      </c>
      <c r="R201" s="7">
        <f>IF(SUM(H201:K201)=0,"",J201/SUM(H201:K201))</f>
        <v/>
      </c>
      <c r="S201" s="7">
        <f>IF(SUM(H201:K201)=0,"",K201/SUM(H201:K201))</f>
        <v/>
      </c>
      <c r="T201" s="7">
        <f>IF(SUM(L201:O201)=0,"",L201/SUM(L201:O201))</f>
        <v/>
      </c>
      <c r="U201" s="7">
        <f>IF(SUM(L201:O201)=0,"",M201/SUM(L201:O201))</f>
        <v/>
      </c>
      <c r="V201" s="7">
        <f>IF(SUM(L201:O201)=0,"",N201/SUM(L201:O201))</f>
        <v/>
      </c>
      <c r="W201" s="7">
        <f>IF(SUM(L201:O201)=0,"",O201/SUM(L201:O201))</f>
        <v/>
      </c>
    </row>
    <row r="202">
      <c r="A202" t="n">
        <v>218</v>
      </c>
      <c r="B202" t="inlineStr">
        <is>
          <t>Books &amp;amp; Breakfast</t>
        </is>
      </c>
      <c r="C202" t="n">
        <v>0</v>
      </c>
      <c r="D202" t="n">
        <v>1</v>
      </c>
      <c r="E202" t="n">
        <v>0</v>
      </c>
      <c r="F202" t="n">
        <v>0</v>
      </c>
      <c r="G202" t="b">
        <v>0</v>
      </c>
      <c r="H202" t="n">
        <v>0</v>
      </c>
      <c r="I202" t="n">
        <v>0</v>
      </c>
      <c r="J202" t="n">
        <v>0</v>
      </c>
      <c r="K202" t="n">
        <v>0</v>
      </c>
      <c r="L202" t="n">
        <v>1</v>
      </c>
      <c r="M202" t="n">
        <v>0</v>
      </c>
      <c r="N202" t="n">
        <v>0</v>
      </c>
      <c r="O202" t="n">
        <v>2</v>
      </c>
      <c r="P202" s="7">
        <f>IF(SUM(H202:K202)=0,"",H202/SUM(H202:K202))</f>
        <v/>
      </c>
      <c r="Q202" s="7">
        <f>IF(SUM(H202:K202)=0,"",I202/SUM(H202:K202))</f>
        <v/>
      </c>
      <c r="R202" s="7">
        <f>IF(SUM(H202:K202)=0,"",J202/SUM(H202:K202))</f>
        <v/>
      </c>
      <c r="S202" s="7">
        <f>IF(SUM(H202:K202)=0,"",K202/SUM(H202:K202))</f>
        <v/>
      </c>
      <c r="T202" s="7">
        <f>IF(SUM(L202:O202)=0,"",L202/SUM(L202:O202))</f>
        <v/>
      </c>
      <c r="U202" s="7">
        <f>IF(SUM(L202:O202)=0,"",M202/SUM(L202:O202))</f>
        <v/>
      </c>
      <c r="V202" s="7">
        <f>IF(SUM(L202:O202)=0,"",N202/SUM(L202:O202))</f>
        <v/>
      </c>
      <c r="W202" s="7">
        <f>IF(SUM(L202:O202)=0,"",O202/SUM(L202:O202))</f>
        <v/>
      </c>
    </row>
    <row r="203">
      <c r="A203" t="n">
        <v>219</v>
      </c>
      <c r="B203" t="inlineStr">
        <is>
          <t>Center for Neighborhood Technology</t>
        </is>
      </c>
      <c r="C203" t="n">
        <v>0</v>
      </c>
      <c r="D203" t="n">
        <v>1</v>
      </c>
      <c r="E203" t="n">
        <v>0</v>
      </c>
      <c r="F203" t="n">
        <v>0</v>
      </c>
      <c r="G203" t="b">
        <v>0</v>
      </c>
      <c r="H203" t="n">
        <v>0</v>
      </c>
      <c r="I203" t="n">
        <v>0</v>
      </c>
      <c r="J203" t="n">
        <v>0</v>
      </c>
      <c r="K203" t="n">
        <v>0</v>
      </c>
      <c r="L203" t="n">
        <v>1</v>
      </c>
      <c r="M203" t="n">
        <v>0</v>
      </c>
      <c r="N203" t="n">
        <v>2</v>
      </c>
      <c r="O203" t="n">
        <v>0</v>
      </c>
      <c r="P203" s="7">
        <f>IF(SUM(H203:K203)=0,"",H203/SUM(H203:K203))</f>
        <v/>
      </c>
      <c r="Q203" s="7">
        <f>IF(SUM(H203:K203)=0,"",I203/SUM(H203:K203))</f>
        <v/>
      </c>
      <c r="R203" s="7">
        <f>IF(SUM(H203:K203)=0,"",J203/SUM(H203:K203))</f>
        <v/>
      </c>
      <c r="S203" s="7">
        <f>IF(SUM(H203:K203)=0,"",K203/SUM(H203:K203))</f>
        <v/>
      </c>
      <c r="T203" s="7">
        <f>IF(SUM(L203:O203)=0,"",L203/SUM(L203:O203))</f>
        <v/>
      </c>
      <c r="U203" s="7">
        <f>IF(SUM(L203:O203)=0,"",M203/SUM(L203:O203))</f>
        <v/>
      </c>
      <c r="V203" s="7">
        <f>IF(SUM(L203:O203)=0,"",N203/SUM(L203:O203))</f>
        <v/>
      </c>
      <c r="W203" s="7">
        <f>IF(SUM(L203:O203)=0,"",O203/SUM(L203:O203))</f>
        <v/>
      </c>
    </row>
    <row r="204">
      <c r="A204" t="n">
        <v>220</v>
      </c>
      <c r="B204" t="inlineStr">
        <is>
          <t>Chicago Methodist Senior Services</t>
        </is>
      </c>
      <c r="C204" t="n">
        <v>0</v>
      </c>
      <c r="D204" t="n">
        <v>1</v>
      </c>
      <c r="E204" t="n">
        <v>0</v>
      </c>
      <c r="F204" t="n">
        <v>0</v>
      </c>
      <c r="G204" t="b">
        <v>0</v>
      </c>
      <c r="H204" t="n">
        <v>0</v>
      </c>
      <c r="I204" t="n">
        <v>0</v>
      </c>
      <c r="J204" t="n">
        <v>0</v>
      </c>
      <c r="K204" t="n">
        <v>0</v>
      </c>
      <c r="L204" t="n">
        <v>1</v>
      </c>
      <c r="M204" t="n">
        <v>0</v>
      </c>
      <c r="N204" t="n">
        <v>0</v>
      </c>
      <c r="O204" t="n">
        <v>2</v>
      </c>
      <c r="P204" s="7">
        <f>IF(SUM(H204:K204)=0,"",H204/SUM(H204:K204))</f>
        <v/>
      </c>
      <c r="Q204" s="7">
        <f>IF(SUM(H204:K204)=0,"",I204/SUM(H204:K204))</f>
        <v/>
      </c>
      <c r="R204" s="7">
        <f>IF(SUM(H204:K204)=0,"",J204/SUM(H204:K204))</f>
        <v/>
      </c>
      <c r="S204" s="7">
        <f>IF(SUM(H204:K204)=0,"",K204/SUM(H204:K204))</f>
        <v/>
      </c>
      <c r="T204" s="7">
        <f>IF(SUM(L204:O204)=0,"",L204/SUM(L204:O204))</f>
        <v/>
      </c>
      <c r="U204" s="7">
        <f>IF(SUM(L204:O204)=0,"",M204/SUM(L204:O204))</f>
        <v/>
      </c>
      <c r="V204" s="7">
        <f>IF(SUM(L204:O204)=0,"",N204/SUM(L204:O204))</f>
        <v/>
      </c>
      <c r="W204" s="7">
        <f>IF(SUM(L204:O204)=0,"",O204/SUM(L204:O204))</f>
        <v/>
      </c>
    </row>
    <row r="205">
      <c r="A205" t="n">
        <v>221</v>
      </c>
      <c r="B205" t="inlineStr">
        <is>
          <t>Childcare Network of Evanston City of Evanston, Parks and Recreation City of Evanston, Public Art</t>
        </is>
      </c>
      <c r="C205" t="n">
        <v>1</v>
      </c>
      <c r="D205" t="n">
        <v>1</v>
      </c>
      <c r="E205" t="n">
        <v>0</v>
      </c>
      <c r="F205" t="n">
        <v>0</v>
      </c>
      <c r="G205" t="b">
        <v>1</v>
      </c>
      <c r="H205" t="n">
        <v>0</v>
      </c>
      <c r="I205" t="n">
        <v>0</v>
      </c>
      <c r="J205" t="n">
        <v>2</v>
      </c>
      <c r="K205" t="n">
        <v>0</v>
      </c>
      <c r="L205" t="n">
        <v>2</v>
      </c>
      <c r="M205" t="n">
        <v>0</v>
      </c>
      <c r="N205" t="n">
        <v>1</v>
      </c>
      <c r="O205" t="n">
        <v>0</v>
      </c>
      <c r="P205" s="7">
        <f>IF(SUM(H205:K205)=0,"",H205/SUM(H205:K205))</f>
        <v/>
      </c>
      <c r="Q205" s="7">
        <f>IF(SUM(H205:K205)=0,"",I205/SUM(H205:K205))</f>
        <v/>
      </c>
      <c r="R205" s="7">
        <f>IF(SUM(H205:K205)=0,"",J205/SUM(H205:K205))</f>
        <v/>
      </c>
      <c r="S205" s="7">
        <f>IF(SUM(H205:K205)=0,"",K205/SUM(H205:K205))</f>
        <v/>
      </c>
      <c r="T205" s="7">
        <f>IF(SUM(L205:O205)=0,"",L205/SUM(L205:O205))</f>
        <v/>
      </c>
      <c r="U205" s="7">
        <f>IF(SUM(L205:O205)=0,"",M205/SUM(L205:O205))</f>
        <v/>
      </c>
      <c r="V205" s="7">
        <f>IF(SUM(L205:O205)=0,"",N205/SUM(L205:O205))</f>
        <v/>
      </c>
      <c r="W205" s="7">
        <f>IF(SUM(L205:O205)=0,"",O205/SUM(L205:O205))</f>
        <v/>
      </c>
    </row>
    <row r="206">
      <c r="A206" t="n">
        <v>222</v>
      </c>
      <c r="B206" t="inlineStr">
        <is>
          <t>Community Organizing and Family Issues (COFI)</t>
        </is>
      </c>
      <c r="C206" t="n">
        <v>0</v>
      </c>
      <c r="D206" t="n">
        <v>1</v>
      </c>
      <c r="E206" t="n">
        <v>0</v>
      </c>
      <c r="F206" t="n">
        <v>0</v>
      </c>
      <c r="G206" t="b">
        <v>0</v>
      </c>
      <c r="H206" t="n">
        <v>0</v>
      </c>
      <c r="I206" t="n">
        <v>0</v>
      </c>
      <c r="J206" t="n">
        <v>0</v>
      </c>
      <c r="K206" t="n">
        <v>0</v>
      </c>
      <c r="L206" t="n">
        <v>0</v>
      </c>
      <c r="M206" t="n">
        <v>0</v>
      </c>
      <c r="N206" t="n">
        <v>1</v>
      </c>
      <c r="O206" t="n">
        <v>2</v>
      </c>
      <c r="P206" s="7">
        <f>IF(SUM(H206:K206)=0,"",H206/SUM(H206:K206))</f>
        <v/>
      </c>
      <c r="Q206" s="7">
        <f>IF(SUM(H206:K206)=0,"",I206/SUM(H206:K206))</f>
        <v/>
      </c>
      <c r="R206" s="7">
        <f>IF(SUM(H206:K206)=0,"",J206/SUM(H206:K206))</f>
        <v/>
      </c>
      <c r="S206" s="7">
        <f>IF(SUM(H206:K206)=0,"",K206/SUM(H206:K206))</f>
        <v/>
      </c>
      <c r="T206" s="7">
        <f>IF(SUM(L206:O206)=0,"",L206/SUM(L206:O206))</f>
        <v/>
      </c>
      <c r="U206" s="7">
        <f>IF(SUM(L206:O206)=0,"",M206/SUM(L206:O206))</f>
        <v/>
      </c>
      <c r="V206" s="7">
        <f>IF(SUM(L206:O206)=0,"",N206/SUM(L206:O206))</f>
        <v/>
      </c>
      <c r="W206" s="7">
        <f>IF(SUM(L206:O206)=0,"",O206/SUM(L206:O206))</f>
        <v/>
      </c>
    </row>
    <row r="207">
      <c r="A207" t="n">
        <v>223</v>
      </c>
      <c r="B207" t="inlineStr">
        <is>
          <t>Connections for the Homeless</t>
        </is>
      </c>
      <c r="C207" t="n">
        <v>0</v>
      </c>
      <c r="D207" t="n">
        <v>1</v>
      </c>
      <c r="E207" t="n">
        <v>0</v>
      </c>
      <c r="F207" t="n">
        <v>0</v>
      </c>
      <c r="G207" t="b">
        <v>0</v>
      </c>
      <c r="H207" t="n">
        <v>0</v>
      </c>
      <c r="I207" t="n">
        <v>0</v>
      </c>
      <c r="J207" t="n">
        <v>0</v>
      </c>
      <c r="K207" t="n">
        <v>0</v>
      </c>
      <c r="L207" t="n">
        <v>1</v>
      </c>
      <c r="M207" t="n">
        <v>0</v>
      </c>
      <c r="N207" t="n">
        <v>0</v>
      </c>
      <c r="O207" t="n">
        <v>2</v>
      </c>
      <c r="P207" s="7">
        <f>IF(SUM(H207:K207)=0,"",H207/SUM(H207:K207))</f>
        <v/>
      </c>
      <c r="Q207" s="7">
        <f>IF(SUM(H207:K207)=0,"",I207/SUM(H207:K207))</f>
        <v/>
      </c>
      <c r="R207" s="7">
        <f>IF(SUM(H207:K207)=0,"",J207/SUM(H207:K207))</f>
        <v/>
      </c>
      <c r="S207" s="7">
        <f>IF(SUM(H207:K207)=0,"",K207/SUM(H207:K207))</f>
        <v/>
      </c>
      <c r="T207" s="7">
        <f>IF(SUM(L207:O207)=0,"",L207/SUM(L207:O207))</f>
        <v/>
      </c>
      <c r="U207" s="7">
        <f>IF(SUM(L207:O207)=0,"",M207/SUM(L207:O207))</f>
        <v/>
      </c>
      <c r="V207" s="7">
        <f>IF(SUM(L207:O207)=0,"",N207/SUM(L207:O207))</f>
        <v/>
      </c>
      <c r="W207" s="7">
        <f>IF(SUM(L207:O207)=0,"",O207/SUM(L207:O207))</f>
        <v/>
      </c>
    </row>
    <row r="208">
      <c r="A208" t="n">
        <v>224</v>
      </c>
      <c r="B208" t="inlineStr">
        <is>
          <t>Curt's Café</t>
        </is>
      </c>
      <c r="C208" t="n">
        <v>0</v>
      </c>
      <c r="D208" t="n">
        <v>1</v>
      </c>
      <c r="E208" t="n">
        <v>0</v>
      </c>
      <c r="F208" t="n">
        <v>0</v>
      </c>
      <c r="G208" t="b">
        <v>0</v>
      </c>
      <c r="H208" t="n">
        <v>0</v>
      </c>
      <c r="I208" t="n">
        <v>0</v>
      </c>
      <c r="J208" t="n">
        <v>0</v>
      </c>
      <c r="K208" t="n">
        <v>0</v>
      </c>
      <c r="L208" t="n">
        <v>1</v>
      </c>
      <c r="M208" t="n">
        <v>0</v>
      </c>
      <c r="N208" t="n">
        <v>0</v>
      </c>
      <c r="O208" t="n">
        <v>2</v>
      </c>
      <c r="P208" s="7">
        <f>IF(SUM(H208:K208)=0,"",H208/SUM(H208:K208))</f>
        <v/>
      </c>
      <c r="Q208" s="7">
        <f>IF(SUM(H208:K208)=0,"",I208/SUM(H208:K208))</f>
        <v/>
      </c>
      <c r="R208" s="7">
        <f>IF(SUM(H208:K208)=0,"",J208/SUM(H208:K208))</f>
        <v/>
      </c>
      <c r="S208" s="7">
        <f>IF(SUM(H208:K208)=0,"",K208/SUM(H208:K208))</f>
        <v/>
      </c>
      <c r="T208" s="7">
        <f>IF(SUM(L208:O208)=0,"",L208/SUM(L208:O208))</f>
        <v/>
      </c>
      <c r="U208" s="7">
        <f>IF(SUM(L208:O208)=0,"",M208/SUM(L208:O208))</f>
        <v/>
      </c>
      <c r="V208" s="7">
        <f>IF(SUM(L208:O208)=0,"",N208/SUM(L208:O208))</f>
        <v/>
      </c>
      <c r="W208" s="7">
        <f>IF(SUM(L208:O208)=0,"",O208/SUM(L208:O208))</f>
        <v/>
      </c>
    </row>
    <row r="209">
      <c r="A209" t="n">
        <v>225</v>
      </c>
      <c r="B209" t="inlineStr">
        <is>
          <t>C&amp;amp;W Market and Ice Cream Parlor</t>
        </is>
      </c>
      <c r="C209" t="n">
        <v>0</v>
      </c>
      <c r="D209" t="n">
        <v>1</v>
      </c>
      <c r="E209" t="n">
        <v>0</v>
      </c>
      <c r="F209" t="n">
        <v>0</v>
      </c>
      <c r="G209" t="b">
        <v>0</v>
      </c>
      <c r="H209" t="n">
        <v>0</v>
      </c>
      <c r="I209" t="n">
        <v>0</v>
      </c>
      <c r="J209" t="n">
        <v>0</v>
      </c>
      <c r="K209" t="n">
        <v>0</v>
      </c>
      <c r="L209" t="n">
        <v>1</v>
      </c>
      <c r="M209" t="n">
        <v>0</v>
      </c>
      <c r="N209" t="n">
        <v>0</v>
      </c>
      <c r="O209" t="n">
        <v>2</v>
      </c>
      <c r="P209" s="7">
        <f>IF(SUM(H209:K209)=0,"",H209/SUM(H209:K209))</f>
        <v/>
      </c>
      <c r="Q209" s="7">
        <f>IF(SUM(H209:K209)=0,"",I209/SUM(H209:K209))</f>
        <v/>
      </c>
      <c r="R209" s="7">
        <f>IF(SUM(H209:K209)=0,"",J209/SUM(H209:K209))</f>
        <v/>
      </c>
      <c r="S209" s="7">
        <f>IF(SUM(H209:K209)=0,"",K209/SUM(H209:K209))</f>
        <v/>
      </c>
      <c r="T209" s="7">
        <f>IF(SUM(L209:O209)=0,"",L209/SUM(L209:O209))</f>
        <v/>
      </c>
      <c r="U209" s="7">
        <f>IF(SUM(L209:O209)=0,"",M209/SUM(L209:O209))</f>
        <v/>
      </c>
      <c r="V209" s="7">
        <f>IF(SUM(L209:O209)=0,"",N209/SUM(L209:O209))</f>
        <v/>
      </c>
      <c r="W209" s="7">
        <f>IF(SUM(L209:O209)=0,"",O209/SUM(L209:O209))</f>
        <v/>
      </c>
    </row>
    <row r="210">
      <c r="A210" t="n">
        <v>226</v>
      </c>
      <c r="B210" t="inlineStr">
        <is>
          <t>Erie Family Health Centers Evanston</t>
        </is>
      </c>
      <c r="C210" t="n">
        <v>0</v>
      </c>
      <c r="D210" t="n">
        <v>1</v>
      </c>
      <c r="E210" t="n">
        <v>0</v>
      </c>
      <c r="F210" t="n">
        <v>0</v>
      </c>
      <c r="G210" t="b">
        <v>0</v>
      </c>
      <c r="H210" t="n">
        <v>0</v>
      </c>
      <c r="I210" t="n">
        <v>0</v>
      </c>
      <c r="J210" t="n">
        <v>0</v>
      </c>
      <c r="K210" t="n">
        <v>0</v>
      </c>
      <c r="L210" t="n">
        <v>1</v>
      </c>
      <c r="M210" t="n">
        <v>0</v>
      </c>
      <c r="N210" t="n">
        <v>0</v>
      </c>
      <c r="O210" t="n">
        <v>2</v>
      </c>
      <c r="P210" s="7">
        <f>IF(SUM(H210:K210)=0,"",H210/SUM(H210:K210))</f>
        <v/>
      </c>
      <c r="Q210" s="7">
        <f>IF(SUM(H210:K210)=0,"",I210/SUM(H210:K210))</f>
        <v/>
      </c>
      <c r="R210" s="7">
        <f>IF(SUM(H210:K210)=0,"",J210/SUM(H210:K210))</f>
        <v/>
      </c>
      <c r="S210" s="7">
        <f>IF(SUM(H210:K210)=0,"",K210/SUM(H210:K210))</f>
        <v/>
      </c>
      <c r="T210" s="7">
        <f>IF(SUM(L210:O210)=0,"",L210/SUM(L210:O210))</f>
        <v/>
      </c>
      <c r="U210" s="7">
        <f>IF(SUM(L210:O210)=0,"",M210/SUM(L210:O210))</f>
        <v/>
      </c>
      <c r="V210" s="7">
        <f>IF(SUM(L210:O210)=0,"",N210/SUM(L210:O210))</f>
        <v/>
      </c>
      <c r="W210" s="7">
        <f>IF(SUM(L210:O210)=0,"",O210/SUM(L210:O210))</f>
        <v/>
      </c>
    </row>
    <row r="211">
      <c r="A211" t="n">
        <v>227</v>
      </c>
      <c r="B211" t="inlineStr">
        <is>
          <t>Cradle to Career</t>
        </is>
      </c>
      <c r="C211" t="n">
        <v>0</v>
      </c>
      <c r="D211" t="n">
        <v>1</v>
      </c>
      <c r="E211" t="n">
        <v>0</v>
      </c>
      <c r="F211" t="n">
        <v>0</v>
      </c>
      <c r="G211" t="b">
        <v>0</v>
      </c>
      <c r="H211" t="n">
        <v>0</v>
      </c>
      <c r="I211" t="n">
        <v>0</v>
      </c>
      <c r="J211" t="n">
        <v>0</v>
      </c>
      <c r="K211" t="n">
        <v>0</v>
      </c>
      <c r="L211" t="n">
        <v>0</v>
      </c>
      <c r="M211" t="n">
        <v>0</v>
      </c>
      <c r="N211" t="n">
        <v>2</v>
      </c>
      <c r="O211" t="n">
        <v>1</v>
      </c>
      <c r="P211" s="7">
        <f>IF(SUM(H211:K211)=0,"",H211/SUM(H211:K211))</f>
        <v/>
      </c>
      <c r="Q211" s="7">
        <f>IF(SUM(H211:K211)=0,"",I211/SUM(H211:K211))</f>
        <v/>
      </c>
      <c r="R211" s="7">
        <f>IF(SUM(H211:K211)=0,"",J211/SUM(H211:K211))</f>
        <v/>
      </c>
      <c r="S211" s="7">
        <f>IF(SUM(H211:K211)=0,"",K211/SUM(H211:K211))</f>
        <v/>
      </c>
      <c r="T211" s="7">
        <f>IF(SUM(L211:O211)=0,"",L211/SUM(L211:O211))</f>
        <v/>
      </c>
      <c r="U211" s="7">
        <f>IF(SUM(L211:O211)=0,"",M211/SUM(L211:O211))</f>
        <v/>
      </c>
      <c r="V211" s="7">
        <f>IF(SUM(L211:O211)=0,"",N211/SUM(L211:O211))</f>
        <v/>
      </c>
      <c r="W211" s="7">
        <f>IF(SUM(L211:O211)=0,"",O211/SUM(L211:O211))</f>
        <v/>
      </c>
    </row>
    <row r="212">
      <c r="A212" t="n">
        <v>228</v>
      </c>
      <c r="B212" t="inlineStr">
        <is>
          <t>Evanston Latinos Evanston Public Library Evanston Rebuilding Warehouse Evanston Roundtable Media Evanston Scholars Housing Opportunity Development Corporation Infant Welfare Society of Evanston Institute for Therapy through the Arts Interfaith Action of Evanston</t>
        </is>
      </c>
      <c r="C212" t="n">
        <v>1</v>
      </c>
      <c r="D212" t="n">
        <v>1</v>
      </c>
      <c r="E212" t="n">
        <v>0</v>
      </c>
      <c r="F212" t="n">
        <v>0</v>
      </c>
      <c r="G212" t="b">
        <v>1</v>
      </c>
      <c r="H212" t="n">
        <v>0</v>
      </c>
      <c r="I212" t="n">
        <v>0</v>
      </c>
      <c r="J212" t="n">
        <v>2</v>
      </c>
      <c r="K212" t="n">
        <v>0</v>
      </c>
      <c r="L212" t="n">
        <v>2</v>
      </c>
      <c r="M212" t="n">
        <v>0</v>
      </c>
      <c r="N212" t="n">
        <v>0</v>
      </c>
      <c r="O212" t="n">
        <v>1</v>
      </c>
      <c r="P212" s="7">
        <f>IF(SUM(H212:K212)=0,"",H212/SUM(H212:K212))</f>
        <v/>
      </c>
      <c r="Q212" s="7">
        <f>IF(SUM(H212:K212)=0,"",I212/SUM(H212:K212))</f>
        <v/>
      </c>
      <c r="R212" s="7">
        <f>IF(SUM(H212:K212)=0,"",J212/SUM(H212:K212))</f>
        <v/>
      </c>
      <c r="S212" s="7">
        <f>IF(SUM(H212:K212)=0,"",K212/SUM(H212:K212))</f>
        <v/>
      </c>
      <c r="T212" s="7">
        <f>IF(SUM(L212:O212)=0,"",L212/SUM(L212:O212))</f>
        <v/>
      </c>
      <c r="U212" s="7">
        <f>IF(SUM(L212:O212)=0,"",M212/SUM(L212:O212))</f>
        <v/>
      </c>
      <c r="V212" s="7">
        <f>IF(SUM(L212:O212)=0,"",N212/SUM(L212:O212))</f>
        <v/>
      </c>
      <c r="W212" s="7">
        <f>IF(SUM(L212:O212)=0,"",O212/SUM(L212:O212))</f>
        <v/>
      </c>
    </row>
    <row r="213">
      <c r="A213" t="n">
        <v>229</v>
      </c>
      <c r="B213" t="inlineStr">
        <is>
          <t>James B. Moran Center for Youth Advocacy</t>
        </is>
      </c>
      <c r="C213" t="n">
        <v>0</v>
      </c>
      <c r="D213" t="n">
        <v>1</v>
      </c>
      <c r="E213" t="n">
        <v>0</v>
      </c>
      <c r="F213" t="n">
        <v>0</v>
      </c>
      <c r="G213" t="b">
        <v>0</v>
      </c>
      <c r="H213" t="n">
        <v>0</v>
      </c>
      <c r="I213" t="n">
        <v>0</v>
      </c>
      <c r="J213" t="n">
        <v>0</v>
      </c>
      <c r="K213" t="n">
        <v>0</v>
      </c>
      <c r="L213" t="n">
        <v>0</v>
      </c>
      <c r="M213" t="n">
        <v>0</v>
      </c>
      <c r="N213" t="n">
        <v>1</v>
      </c>
      <c r="O213" t="n">
        <v>2</v>
      </c>
      <c r="P213" s="7">
        <f>IF(SUM(H213:K213)=0,"",H213/SUM(H213:K213))</f>
        <v/>
      </c>
      <c r="Q213" s="7">
        <f>IF(SUM(H213:K213)=0,"",I213/SUM(H213:K213))</f>
        <v/>
      </c>
      <c r="R213" s="7">
        <f>IF(SUM(H213:K213)=0,"",J213/SUM(H213:K213))</f>
        <v/>
      </c>
      <c r="S213" s="7">
        <f>IF(SUM(H213:K213)=0,"",K213/SUM(H213:K213))</f>
        <v/>
      </c>
      <c r="T213" s="7">
        <f>IF(SUM(L213:O213)=0,"",L213/SUM(L213:O213))</f>
        <v/>
      </c>
      <c r="U213" s="7">
        <f>IF(SUM(L213:O213)=0,"",M213/SUM(L213:O213))</f>
        <v/>
      </c>
      <c r="V213" s="7">
        <f>IF(SUM(L213:O213)=0,"",N213/SUM(L213:O213))</f>
        <v/>
      </c>
      <c r="W213" s="7">
        <f>IF(SUM(L213:O213)=0,"",O213/SUM(L213:O213))</f>
        <v/>
      </c>
    </row>
    <row r="214">
      <c r="A214" t="n">
        <v>230</v>
      </c>
      <c r="B214" t="inlineStr">
        <is>
          <t>Jennifer's Edibles</t>
        </is>
      </c>
      <c r="C214" t="n">
        <v>0</v>
      </c>
      <c r="D214" t="n">
        <v>1</v>
      </c>
      <c r="E214" t="n">
        <v>0</v>
      </c>
      <c r="F214" t="n">
        <v>0</v>
      </c>
      <c r="G214" t="b">
        <v>0</v>
      </c>
      <c r="H214" t="n">
        <v>0</v>
      </c>
      <c r="I214" t="n">
        <v>0</v>
      </c>
      <c r="J214" t="n">
        <v>0</v>
      </c>
      <c r="K214" t="n">
        <v>0</v>
      </c>
      <c r="L214" t="n">
        <v>1</v>
      </c>
      <c r="M214" t="n">
        <v>0</v>
      </c>
      <c r="N214" t="n">
        <v>0</v>
      </c>
      <c r="O214" t="n">
        <v>2</v>
      </c>
      <c r="P214" s="7">
        <f>IF(SUM(H214:K214)=0,"",H214/SUM(H214:K214))</f>
        <v/>
      </c>
      <c r="Q214" s="7">
        <f>IF(SUM(H214:K214)=0,"",I214/SUM(H214:K214))</f>
        <v/>
      </c>
      <c r="R214" s="7">
        <f>IF(SUM(H214:K214)=0,"",J214/SUM(H214:K214))</f>
        <v/>
      </c>
      <c r="S214" s="7">
        <f>IF(SUM(H214:K214)=0,"",K214/SUM(H214:K214))</f>
        <v/>
      </c>
      <c r="T214" s="7">
        <f>IF(SUM(L214:O214)=0,"",L214/SUM(L214:O214))</f>
        <v/>
      </c>
      <c r="U214" s="7">
        <f>IF(SUM(L214:O214)=0,"",M214/SUM(L214:O214))</f>
        <v/>
      </c>
      <c r="V214" s="7">
        <f>IF(SUM(L214:O214)=0,"",N214/SUM(L214:O214))</f>
        <v/>
      </c>
      <c r="W214" s="7">
        <f>IF(SUM(L214:O214)=0,"",O214/SUM(L214:O214))</f>
        <v/>
      </c>
    </row>
    <row r="215">
      <c r="A215" t="n">
        <v>231</v>
      </c>
      <c r="B215" t="inlineStr">
        <is>
          <t>Feeding the Community Literacy Works</t>
        </is>
      </c>
      <c r="C215" t="n">
        <v>0</v>
      </c>
      <c r="D215" t="n">
        <v>1</v>
      </c>
      <c r="E215" t="n">
        <v>0</v>
      </c>
      <c r="F215" t="n">
        <v>0</v>
      </c>
      <c r="G215" t="b">
        <v>0</v>
      </c>
      <c r="H215" t="n">
        <v>0</v>
      </c>
      <c r="I215" t="n">
        <v>0</v>
      </c>
      <c r="J215" t="n">
        <v>0</v>
      </c>
      <c r="K215" t="n">
        <v>0</v>
      </c>
      <c r="L215" t="n">
        <v>1</v>
      </c>
      <c r="M215" t="n">
        <v>0</v>
      </c>
      <c r="N215" t="n">
        <v>0</v>
      </c>
      <c r="O215" t="n">
        <v>2</v>
      </c>
      <c r="P215" s="7">
        <f>IF(SUM(H215:K215)=0,"",H215/SUM(H215:K215))</f>
        <v/>
      </c>
      <c r="Q215" s="7">
        <f>IF(SUM(H215:K215)=0,"",I215/SUM(H215:K215))</f>
        <v/>
      </c>
      <c r="R215" s="7">
        <f>IF(SUM(H215:K215)=0,"",J215/SUM(H215:K215))</f>
        <v/>
      </c>
      <c r="S215" s="7">
        <f>IF(SUM(H215:K215)=0,"",K215/SUM(H215:K215))</f>
        <v/>
      </c>
      <c r="T215" s="7">
        <f>IF(SUM(L215:O215)=0,"",L215/SUM(L215:O215))</f>
        <v/>
      </c>
      <c r="U215" s="7">
        <f>IF(SUM(L215:O215)=0,"",M215/SUM(L215:O215))</f>
        <v/>
      </c>
      <c r="V215" s="7">
        <f>IF(SUM(L215:O215)=0,"",N215/SUM(L215:O215))</f>
        <v/>
      </c>
      <c r="W215" s="7">
        <f>IF(SUM(L215:O215)=0,"",O215/SUM(L215:O215))</f>
        <v/>
      </c>
    </row>
    <row r="216">
      <c r="A216" t="n">
        <v>232</v>
      </c>
      <c r="B216" t="inlineStr">
        <is>
          <t>McGaw YMCA</t>
        </is>
      </c>
      <c r="C216" t="n">
        <v>0</v>
      </c>
      <c r="D216" t="n">
        <v>1</v>
      </c>
      <c r="E216" t="n">
        <v>0</v>
      </c>
      <c r="F216" t="n">
        <v>0</v>
      </c>
      <c r="G216" t="b">
        <v>0</v>
      </c>
      <c r="H216" t="n">
        <v>0</v>
      </c>
      <c r="I216" t="n">
        <v>0</v>
      </c>
      <c r="J216" t="n">
        <v>0</v>
      </c>
      <c r="K216" t="n">
        <v>0</v>
      </c>
      <c r="L216" t="n">
        <v>2</v>
      </c>
      <c r="M216" t="n">
        <v>1</v>
      </c>
      <c r="N216" t="n">
        <v>0</v>
      </c>
      <c r="O216" t="n">
        <v>0</v>
      </c>
      <c r="P216" s="7">
        <f>IF(SUM(H216:K216)=0,"",H216/SUM(H216:K216))</f>
        <v/>
      </c>
      <c r="Q216" s="7">
        <f>IF(SUM(H216:K216)=0,"",I216/SUM(H216:K216))</f>
        <v/>
      </c>
      <c r="R216" s="7">
        <f>IF(SUM(H216:K216)=0,"",J216/SUM(H216:K216))</f>
        <v/>
      </c>
      <c r="S216" s="7">
        <f>IF(SUM(H216:K216)=0,"",K216/SUM(H216:K216))</f>
        <v/>
      </c>
      <c r="T216" s="7">
        <f>IF(SUM(L216:O216)=0,"",L216/SUM(L216:O216))</f>
        <v/>
      </c>
      <c r="U216" s="7">
        <f>IF(SUM(L216:O216)=0,"",M216/SUM(L216:O216))</f>
        <v/>
      </c>
      <c r="V216" s="7">
        <f>IF(SUM(L216:O216)=0,"",N216/SUM(L216:O216))</f>
        <v/>
      </c>
      <c r="W216" s="7">
        <f>IF(SUM(L216:O216)=0,"",O216/SUM(L216:O216))</f>
        <v/>
      </c>
    </row>
    <row r="217">
      <c r="A217" t="n">
        <v>233</v>
      </c>
      <c r="B217" t="inlineStr">
        <is>
          <t>Next Steps for Transformation</t>
        </is>
      </c>
      <c r="C217" t="n">
        <v>0</v>
      </c>
      <c r="D217" t="n">
        <v>1</v>
      </c>
      <c r="E217" t="n">
        <v>0</v>
      </c>
      <c r="F217" t="n">
        <v>0</v>
      </c>
      <c r="G217" t="b">
        <v>0</v>
      </c>
      <c r="H217" t="n">
        <v>0</v>
      </c>
      <c r="I217" t="n">
        <v>0</v>
      </c>
      <c r="J217" t="n">
        <v>0</v>
      </c>
      <c r="K217" t="n">
        <v>0</v>
      </c>
      <c r="L217" t="n">
        <v>0</v>
      </c>
      <c r="M217" t="n">
        <v>0</v>
      </c>
      <c r="N217" t="n">
        <v>1</v>
      </c>
      <c r="O217" t="n">
        <v>2</v>
      </c>
      <c r="P217" s="7">
        <f>IF(SUM(H217:K217)=0,"",H217/SUM(H217:K217))</f>
        <v/>
      </c>
      <c r="Q217" s="7">
        <f>IF(SUM(H217:K217)=0,"",I217/SUM(H217:K217))</f>
        <v/>
      </c>
      <c r="R217" s="7">
        <f>IF(SUM(H217:K217)=0,"",J217/SUM(H217:K217))</f>
        <v/>
      </c>
      <c r="S217" s="7">
        <f>IF(SUM(H217:K217)=0,"",K217/SUM(H217:K217))</f>
        <v/>
      </c>
      <c r="T217" s="7">
        <f>IF(SUM(L217:O217)=0,"",L217/SUM(L217:O217))</f>
        <v/>
      </c>
      <c r="U217" s="7">
        <f>IF(SUM(L217:O217)=0,"",M217/SUM(L217:O217))</f>
        <v/>
      </c>
      <c r="V217" s="7">
        <f>IF(SUM(L217:O217)=0,"",N217/SUM(L217:O217))</f>
        <v/>
      </c>
      <c r="W217" s="7">
        <f>IF(SUM(L217:O217)=0,"",O217/SUM(L217:O217))</f>
        <v/>
      </c>
    </row>
    <row r="218">
      <c r="A218" t="n">
        <v>234</v>
      </c>
      <c r="B218" t="inlineStr">
        <is>
          <t>PEER Services, Inc.</t>
        </is>
      </c>
      <c r="C218" t="n">
        <v>0</v>
      </c>
      <c r="D218" t="n">
        <v>1</v>
      </c>
      <c r="E218" t="n">
        <v>0</v>
      </c>
      <c r="F218" t="n">
        <v>0</v>
      </c>
      <c r="G218" t="b">
        <v>0</v>
      </c>
      <c r="H218" t="n">
        <v>0</v>
      </c>
      <c r="I218" t="n">
        <v>0</v>
      </c>
      <c r="J218" t="n">
        <v>0</v>
      </c>
      <c r="K218" t="n">
        <v>0</v>
      </c>
      <c r="L218" t="n">
        <v>1</v>
      </c>
      <c r="M218" t="n">
        <v>0</v>
      </c>
      <c r="N218" t="n">
        <v>0</v>
      </c>
      <c r="O218" t="n">
        <v>2</v>
      </c>
      <c r="P218" s="7">
        <f>IF(SUM(H218:K218)=0,"",H218/SUM(H218:K218))</f>
        <v/>
      </c>
      <c r="Q218" s="7">
        <f>IF(SUM(H218:K218)=0,"",I218/SUM(H218:K218))</f>
        <v/>
      </c>
      <c r="R218" s="7">
        <f>IF(SUM(H218:K218)=0,"",J218/SUM(H218:K218))</f>
        <v/>
      </c>
      <c r="S218" s="7">
        <f>IF(SUM(H218:K218)=0,"",K218/SUM(H218:K218))</f>
        <v/>
      </c>
      <c r="T218" s="7">
        <f>IF(SUM(L218:O218)=0,"",L218/SUM(L218:O218))</f>
        <v/>
      </c>
      <c r="U218" s="7">
        <f>IF(SUM(L218:O218)=0,"",M218/SUM(L218:O218))</f>
        <v/>
      </c>
      <c r="V218" s="7">
        <f>IF(SUM(L218:O218)=0,"",N218/SUM(L218:O218))</f>
        <v/>
      </c>
      <c r="W218" s="7">
        <f>IF(SUM(L218:O218)=0,"",O218/SUM(L218:O218))</f>
        <v/>
      </c>
    </row>
    <row r="219">
      <c r="A219" t="n">
        <v>235</v>
      </c>
      <c r="B219" t="inlineStr">
        <is>
          <t>Reparations Stakeholder Authority of Evanston</t>
        </is>
      </c>
      <c r="C219" t="n">
        <v>1</v>
      </c>
      <c r="D219" t="n">
        <v>1</v>
      </c>
      <c r="E219" t="n">
        <v>0</v>
      </c>
      <c r="F219" t="n">
        <v>0</v>
      </c>
      <c r="G219" t="b">
        <v>1</v>
      </c>
      <c r="H219" t="n">
        <v>0</v>
      </c>
      <c r="I219" t="n">
        <v>0</v>
      </c>
      <c r="J219" t="n">
        <v>0</v>
      </c>
      <c r="K219" t="n">
        <v>2</v>
      </c>
      <c r="L219" t="n">
        <v>0</v>
      </c>
      <c r="M219" t="n">
        <v>0</v>
      </c>
      <c r="N219" t="n">
        <v>1</v>
      </c>
      <c r="O219" t="n">
        <v>2</v>
      </c>
      <c r="P219" s="7">
        <f>IF(SUM(H219:K219)=0,"",H219/SUM(H219:K219))</f>
        <v/>
      </c>
      <c r="Q219" s="7">
        <f>IF(SUM(H219:K219)=0,"",I219/SUM(H219:K219))</f>
        <v/>
      </c>
      <c r="R219" s="7">
        <f>IF(SUM(H219:K219)=0,"",J219/SUM(H219:K219))</f>
        <v/>
      </c>
      <c r="S219" s="7">
        <f>IF(SUM(H219:K219)=0,"",K219/SUM(H219:K219))</f>
        <v/>
      </c>
      <c r="T219" s="7">
        <f>IF(SUM(L219:O219)=0,"",L219/SUM(L219:O219))</f>
        <v/>
      </c>
      <c r="U219" s="7">
        <f>IF(SUM(L219:O219)=0,"",M219/SUM(L219:O219))</f>
        <v/>
      </c>
      <c r="V219" s="7">
        <f>IF(SUM(L219:O219)=0,"",N219/SUM(L219:O219))</f>
        <v/>
      </c>
      <c r="W219" s="7">
        <f>IF(SUM(L219:O219)=0,"",O219/SUM(L219:O219))</f>
        <v/>
      </c>
    </row>
    <row r="220">
      <c r="A220" t="n">
        <v>236</v>
      </c>
      <c r="B220" t="inlineStr">
        <is>
          <t>STEM School Evanston YWCA Evanston/North Shore</t>
        </is>
      </c>
      <c r="C220" t="n">
        <v>0</v>
      </c>
      <c r="D220" t="n">
        <v>1</v>
      </c>
      <c r="E220" t="n">
        <v>0</v>
      </c>
      <c r="F220" t="n">
        <v>0</v>
      </c>
      <c r="G220" t="b">
        <v>0</v>
      </c>
      <c r="H220" t="n">
        <v>0</v>
      </c>
      <c r="I220" t="n">
        <v>0</v>
      </c>
      <c r="J220" t="n">
        <v>0</v>
      </c>
      <c r="K220" t="n">
        <v>0</v>
      </c>
      <c r="L220" t="n">
        <v>1</v>
      </c>
      <c r="M220" t="n">
        <v>0</v>
      </c>
      <c r="N220" t="n">
        <v>0</v>
      </c>
      <c r="O220" t="n">
        <v>2</v>
      </c>
      <c r="P220" s="7">
        <f>IF(SUM(H220:K220)=0,"",H220/SUM(H220:K220))</f>
        <v/>
      </c>
      <c r="Q220" s="7">
        <f>IF(SUM(H220:K220)=0,"",I220/SUM(H220:K220))</f>
        <v/>
      </c>
      <c r="R220" s="7">
        <f>IF(SUM(H220:K220)=0,"",J220/SUM(H220:K220))</f>
        <v/>
      </c>
      <c r="S220" s="7">
        <f>IF(SUM(H220:K220)=0,"",K220/SUM(H220:K220))</f>
        <v/>
      </c>
      <c r="T220" s="7">
        <f>IF(SUM(L220:O220)=0,"",L220/SUM(L220:O220))</f>
        <v/>
      </c>
      <c r="U220" s="7">
        <f>IF(SUM(L220:O220)=0,"",M220/SUM(L220:O220))</f>
        <v/>
      </c>
      <c r="V220" s="7">
        <f>IF(SUM(L220:O220)=0,"",N220/SUM(L220:O220))</f>
        <v/>
      </c>
      <c r="W220" s="7">
        <f>IF(SUM(L220:O220)=0,"",O220/SUM(L220:O220))</f>
        <v/>
      </c>
    </row>
    <row r="221">
      <c r="A221" t="n">
        <v>237</v>
      </c>
      <c r="B221" t="inlineStr">
        <is>
          <t>Cohort-Based Learning and Grants Building the Future &amp;amp; Partners for the Future</t>
        </is>
      </c>
      <c r="C221" t="n">
        <v>0</v>
      </c>
      <c r="D221" t="n">
        <v>1</v>
      </c>
      <c r="E221" t="n">
        <v>0</v>
      </c>
      <c r="F221" t="n">
        <v>0</v>
      </c>
      <c r="G221" t="b">
        <v>0</v>
      </c>
      <c r="H221" t="n">
        <v>0</v>
      </c>
      <c r="I221" t="n">
        <v>0</v>
      </c>
      <c r="J221" t="n">
        <v>0</v>
      </c>
      <c r="K221" t="n">
        <v>0</v>
      </c>
      <c r="L221" t="n">
        <v>0</v>
      </c>
      <c r="M221" t="n">
        <v>1</v>
      </c>
      <c r="N221" t="n">
        <v>2</v>
      </c>
      <c r="O221" t="n">
        <v>0</v>
      </c>
      <c r="P221" s="7">
        <f>IF(SUM(H221:K221)=0,"",H221/SUM(H221:K221))</f>
        <v/>
      </c>
      <c r="Q221" s="7">
        <f>IF(SUM(H221:K221)=0,"",I221/SUM(H221:K221))</f>
        <v/>
      </c>
      <c r="R221" s="7">
        <f>IF(SUM(H221:K221)=0,"",J221/SUM(H221:K221))</f>
        <v/>
      </c>
      <c r="S221" s="7">
        <f>IF(SUM(H221:K221)=0,"",K221/SUM(H221:K221))</f>
        <v/>
      </c>
      <c r="T221" s="7">
        <f>IF(SUM(L221:O221)=0,"",L221/SUM(L221:O221))</f>
        <v/>
      </c>
      <c r="U221" s="7">
        <f>IF(SUM(L221:O221)=0,"",M221/SUM(L221:O221))</f>
        <v/>
      </c>
      <c r="V221" s="7">
        <f>IF(SUM(L221:O221)=0,"",N221/SUM(L221:O221))</f>
        <v/>
      </c>
      <c r="W221" s="7">
        <f>IF(SUM(L221:O221)=0,"",O221/SUM(L221:O221))</f>
        <v/>
      </c>
    </row>
    <row r="222">
      <c r="A222" t="n">
        <v>238</v>
      </c>
      <c r="B222" t="inlineStr">
        <is>
          <t>Books &amp;amp; Breakfast Childcare Network of Evanston Family Promise Chicago North Shore Meals on Wheels Northeastern Illinois PEER Services, Inc.</t>
        </is>
      </c>
      <c r="C222" t="n">
        <v>0</v>
      </c>
      <c r="D222" t="n">
        <v>1</v>
      </c>
      <c r="E222" t="n">
        <v>0</v>
      </c>
      <c r="F222" t="n">
        <v>0</v>
      </c>
      <c r="G222" t="b">
        <v>0</v>
      </c>
      <c r="H222" t="n">
        <v>0</v>
      </c>
      <c r="I222" t="n">
        <v>0</v>
      </c>
      <c r="J222" t="n">
        <v>0</v>
      </c>
      <c r="K222" t="n">
        <v>0</v>
      </c>
      <c r="L222" t="n">
        <v>2</v>
      </c>
      <c r="M222" t="n">
        <v>0</v>
      </c>
      <c r="N222" t="n">
        <v>0</v>
      </c>
      <c r="O222" t="n">
        <v>1</v>
      </c>
      <c r="P222" s="7">
        <f>IF(SUM(H222:K222)=0,"",H222/SUM(H222:K222))</f>
        <v/>
      </c>
      <c r="Q222" s="7">
        <f>IF(SUM(H222:K222)=0,"",I222/SUM(H222:K222))</f>
        <v/>
      </c>
      <c r="R222" s="7">
        <f>IF(SUM(H222:K222)=0,"",J222/SUM(H222:K222))</f>
        <v/>
      </c>
      <c r="S222" s="7">
        <f>IF(SUM(H222:K222)=0,"",K222/SUM(H222:K222))</f>
        <v/>
      </c>
      <c r="T222" s="7">
        <f>IF(SUM(L222:O222)=0,"",L222/SUM(L222:O222))</f>
        <v/>
      </c>
      <c r="U222" s="7">
        <f>IF(SUM(L222:O222)=0,"",M222/SUM(L222:O222))</f>
        <v/>
      </c>
      <c r="V222" s="7">
        <f>IF(SUM(L222:O222)=0,"",N222/SUM(L222:O222))</f>
        <v/>
      </c>
      <c r="W222" s="7">
        <f>IF(SUM(L222:O222)=0,"",O222/SUM(L222:O222))</f>
        <v/>
      </c>
    </row>
    <row r="223">
      <c r="A223" t="n">
        <v>240</v>
      </c>
      <c r="B223" t="inlineStr">
        <is>
          <t>Actors Gymnasium Evanston Wilmette Golf Course Association Puerta Abierta Preschool Reba Place Development Corporation Young Black &amp;amp; Lit</t>
        </is>
      </c>
      <c r="C223" t="n">
        <v>1</v>
      </c>
      <c r="D223" t="n">
        <v>1</v>
      </c>
      <c r="E223" t="n">
        <v>0</v>
      </c>
      <c r="F223" t="n">
        <v>0</v>
      </c>
      <c r="G223" t="b">
        <v>1</v>
      </c>
      <c r="H223" t="n">
        <v>0</v>
      </c>
      <c r="I223" t="n">
        <v>0</v>
      </c>
      <c r="J223" t="n">
        <v>0</v>
      </c>
      <c r="K223" t="n">
        <v>2</v>
      </c>
      <c r="L223" t="n">
        <v>2</v>
      </c>
      <c r="M223" t="n">
        <v>0</v>
      </c>
      <c r="N223" t="n">
        <v>0</v>
      </c>
      <c r="O223" t="n">
        <v>1</v>
      </c>
      <c r="P223" s="7">
        <f>IF(SUM(H223:K223)=0,"",H223/SUM(H223:K223))</f>
        <v/>
      </c>
      <c r="Q223" s="7">
        <f>IF(SUM(H223:K223)=0,"",I223/SUM(H223:K223))</f>
        <v/>
      </c>
      <c r="R223" s="7">
        <f>IF(SUM(H223:K223)=0,"",J223/SUM(H223:K223))</f>
        <v/>
      </c>
      <c r="S223" s="7">
        <f>IF(SUM(H223:K223)=0,"",K223/SUM(H223:K223))</f>
        <v/>
      </c>
      <c r="T223" s="7">
        <f>IF(SUM(L223:O223)=0,"",L223/SUM(L223:O223))</f>
        <v/>
      </c>
      <c r="U223" s="7">
        <f>IF(SUM(L223:O223)=0,"",M223/SUM(L223:O223))</f>
        <v/>
      </c>
      <c r="V223" s="7">
        <f>IF(SUM(L223:O223)=0,"",N223/SUM(L223:O223))</f>
        <v/>
      </c>
      <c r="W223" s="7">
        <f>IF(SUM(L223:O223)=0,"",O223/SUM(L223:O223))</f>
        <v/>
      </c>
    </row>
    <row r="224">
      <c r="A224" t="n">
        <v>241</v>
      </c>
      <c r="B224" t="inlineStr">
        <is>
          <t>Becoming Equitable Institutions, in partnership with the YWCA Evanston/North Shore</t>
        </is>
      </c>
      <c r="C224" t="n">
        <v>1</v>
      </c>
      <c r="D224" t="n">
        <v>2</v>
      </c>
      <c r="E224" t="n">
        <v>0</v>
      </c>
      <c r="F224" t="n">
        <v>0</v>
      </c>
      <c r="G224" t="b">
        <v>1</v>
      </c>
      <c r="H224" t="n">
        <v>0</v>
      </c>
      <c r="I224" t="n">
        <v>0</v>
      </c>
      <c r="J224" t="n">
        <v>1</v>
      </c>
      <c r="K224" t="n">
        <v>2</v>
      </c>
      <c r="L224" t="n">
        <v>0</v>
      </c>
      <c r="M224" t="n">
        <v>0</v>
      </c>
      <c r="N224" t="n">
        <v>2</v>
      </c>
      <c r="O224" t="n">
        <v>4</v>
      </c>
      <c r="P224" s="7">
        <f>IF(SUM(H224:K224)=0,"",H224/SUM(H224:K224))</f>
        <v/>
      </c>
      <c r="Q224" s="7">
        <f>IF(SUM(H224:K224)=0,"",I224/SUM(H224:K224))</f>
        <v/>
      </c>
      <c r="R224" s="7">
        <f>IF(SUM(H224:K224)=0,"",J224/SUM(H224:K224))</f>
        <v/>
      </c>
      <c r="S224" s="7">
        <f>IF(SUM(H224:K224)=0,"",K224/SUM(H224:K224))</f>
        <v/>
      </c>
      <c r="T224" s="7">
        <f>IF(SUM(L224:O224)=0,"",L224/SUM(L224:O224))</f>
        <v/>
      </c>
      <c r="U224" s="7">
        <f>IF(SUM(L224:O224)=0,"",M224/SUM(L224:O224))</f>
        <v/>
      </c>
      <c r="V224" s="7">
        <f>IF(SUM(L224:O224)=0,"",N224/SUM(L224:O224))</f>
        <v/>
      </c>
      <c r="W224" s="7">
        <f>IF(SUM(L224:O224)=0,"",O224/SUM(L224:O224))</f>
        <v/>
      </c>
    </row>
    <row r="225">
      <c r="A225" t="n">
        <v>242</v>
      </c>
      <c r="B225" t="inlineStr">
        <is>
          <t>Covenant Nursery School Evanston Early Childhood Council Learning Bridge Reba Early Learning Center School for Little Children</t>
        </is>
      </c>
      <c r="C225" t="n">
        <v>0</v>
      </c>
      <c r="D225" t="n">
        <v>1</v>
      </c>
      <c r="E225" t="n">
        <v>0</v>
      </c>
      <c r="F225" t="n">
        <v>0</v>
      </c>
      <c r="G225" t="b">
        <v>0</v>
      </c>
      <c r="H225" t="n">
        <v>0</v>
      </c>
      <c r="I225" t="n">
        <v>0</v>
      </c>
      <c r="J225" t="n">
        <v>0</v>
      </c>
      <c r="K225" t="n">
        <v>0</v>
      </c>
      <c r="L225" t="n">
        <v>2</v>
      </c>
      <c r="M225" t="n">
        <v>1</v>
      </c>
      <c r="N225" t="n">
        <v>0</v>
      </c>
      <c r="O225" t="n">
        <v>0</v>
      </c>
      <c r="P225" s="7">
        <f>IF(SUM(H225:K225)=0,"",H225/SUM(H225:K225))</f>
        <v/>
      </c>
      <c r="Q225" s="7">
        <f>IF(SUM(H225:K225)=0,"",I225/SUM(H225:K225))</f>
        <v/>
      </c>
      <c r="R225" s="7">
        <f>IF(SUM(H225:K225)=0,"",J225/SUM(H225:K225))</f>
        <v/>
      </c>
      <c r="S225" s="7">
        <f>IF(SUM(H225:K225)=0,"",K225/SUM(H225:K225))</f>
        <v/>
      </c>
      <c r="T225" s="7">
        <f>IF(SUM(L225:O225)=0,"",L225/SUM(L225:O225))</f>
        <v/>
      </c>
      <c r="U225" s="7">
        <f>IF(SUM(L225:O225)=0,"",M225/SUM(L225:O225))</f>
        <v/>
      </c>
      <c r="V225" s="7">
        <f>IF(SUM(L225:O225)=0,"",N225/SUM(L225:O225))</f>
        <v/>
      </c>
      <c r="W225" s="7">
        <f>IF(SUM(L225:O225)=0,"",O225/SUM(L225:O225))</f>
        <v/>
      </c>
    </row>
    <row r="226">
      <c r="A226" t="n">
        <v>243</v>
      </c>
      <c r="B226" t="inlineStr">
        <is>
          <t>2021 grants &amp;amp; distributions</t>
        </is>
      </c>
      <c r="C226" t="n">
        <v>0</v>
      </c>
      <c r="D226" t="n">
        <v>0</v>
      </c>
      <c r="E226" t="n">
        <v>0</v>
      </c>
      <c r="F226" t="n">
        <v>0</v>
      </c>
      <c r="G226" t="b">
        <v>0</v>
      </c>
      <c r="H226" t="n">
        <v>0</v>
      </c>
      <c r="I226" t="n">
        <v>0</v>
      </c>
      <c r="J226" t="n">
        <v>0</v>
      </c>
      <c r="K226" t="n">
        <v>0</v>
      </c>
      <c r="L226" t="n">
        <v>0</v>
      </c>
      <c r="M226" t="n">
        <v>0</v>
      </c>
      <c r="N226" t="n">
        <v>0</v>
      </c>
      <c r="O226" t="n">
        <v>0</v>
      </c>
      <c r="P226" s="7">
        <f>IF(SUM(H226:K226)=0,"",H226/SUM(H226:K226))</f>
        <v/>
      </c>
      <c r="Q226" s="7">
        <f>IF(SUM(H226:K226)=0,"",I226/SUM(H226:K226))</f>
        <v/>
      </c>
      <c r="R226" s="7">
        <f>IF(SUM(H226:K226)=0,"",J226/SUM(H226:K226))</f>
        <v/>
      </c>
      <c r="S226" s="7">
        <f>IF(SUM(H226:K226)=0,"",K226/SUM(H226:K226))</f>
        <v/>
      </c>
      <c r="T226" s="7">
        <f>IF(SUM(L226:O226)=0,"",L226/SUM(L226:O226))</f>
        <v/>
      </c>
      <c r="U226" s="7">
        <f>IF(SUM(L226:O226)=0,"",M226/SUM(L226:O226))</f>
        <v/>
      </c>
      <c r="V226" s="7">
        <f>IF(SUM(L226:O226)=0,"",N226/SUM(L226:O226))</f>
        <v/>
      </c>
      <c r="W226" s="7">
        <f>IF(SUM(L226:O226)=0,"",O226/SUM(L226:O226))</f>
        <v/>
      </c>
    </row>
    <row r="227">
      <c r="A227" t="n">
        <v>244</v>
      </c>
      <c r="B227" t="inlineStr">
        <is>
          <t>$2.88 million total, including $1.26 million in Community-Centered and Cohort Learning Grants</t>
        </is>
      </c>
      <c r="C227" t="n">
        <v>0</v>
      </c>
      <c r="D227" t="n">
        <v>2</v>
      </c>
      <c r="E227" t="n">
        <v>0</v>
      </c>
      <c r="F227" t="n">
        <v>0</v>
      </c>
      <c r="G227" t="b">
        <v>0</v>
      </c>
      <c r="H227" t="n">
        <v>0</v>
      </c>
      <c r="I227" t="n">
        <v>0</v>
      </c>
      <c r="J227" t="n">
        <v>0</v>
      </c>
      <c r="K227" t="n">
        <v>0</v>
      </c>
      <c r="L227" t="n">
        <v>4</v>
      </c>
      <c r="M227" t="n">
        <v>0</v>
      </c>
      <c r="N227" t="n">
        <v>2</v>
      </c>
      <c r="O227" t="n">
        <v>0</v>
      </c>
      <c r="P227" s="7">
        <f>IF(SUM(H227:K227)=0,"",H227/SUM(H227:K227))</f>
        <v/>
      </c>
      <c r="Q227" s="7">
        <f>IF(SUM(H227:K227)=0,"",I227/SUM(H227:K227))</f>
        <v/>
      </c>
      <c r="R227" s="7">
        <f>IF(SUM(H227:K227)=0,"",J227/SUM(H227:K227))</f>
        <v/>
      </c>
      <c r="S227" s="7">
        <f>IF(SUM(H227:K227)=0,"",K227/SUM(H227:K227))</f>
        <v/>
      </c>
      <c r="T227" s="7">
        <f>IF(SUM(L227:O227)=0,"",L227/SUM(L227:O227))</f>
        <v/>
      </c>
      <c r="U227" s="7">
        <f>IF(SUM(L227:O227)=0,"",M227/SUM(L227:O227))</f>
        <v/>
      </c>
      <c r="V227" s="7">
        <f>IF(SUM(L227:O227)=0,"",N227/SUM(L227:O227))</f>
        <v/>
      </c>
      <c r="W227" s="7">
        <f>IF(SUM(L227:O227)=0,"",O227/SUM(L227:O227))</f>
        <v/>
      </c>
    </row>
    <row r="228">
      <c r="A228" t="n">
        <v>245</v>
      </c>
      <c r="B228" t="inlineStr">
        <is>
          <t>**Cohort Learning Grants include root2fruit , funded by the Mammel Foundation, and Partners for the Future and Building the Future programs. The latter programs are funded by Partners for the Future, a donor advised fund of [community_foundation_tag]; its grants are managed by [community_foundation_tag] program staff.</t>
        </is>
      </c>
      <c r="C228" t="n">
        <v>1</v>
      </c>
      <c r="D228" t="n">
        <v>2</v>
      </c>
      <c r="E228" t="n">
        <v>0</v>
      </c>
      <c r="F228" t="n">
        <v>0</v>
      </c>
      <c r="G228" t="b">
        <v>1</v>
      </c>
      <c r="H228" t="n">
        <v>1</v>
      </c>
      <c r="I228" t="n">
        <v>2</v>
      </c>
      <c r="J228" t="n">
        <v>0</v>
      </c>
      <c r="K228" t="n">
        <v>0</v>
      </c>
      <c r="L228" t="n">
        <v>0</v>
      </c>
      <c r="M228" t="n">
        <v>4</v>
      </c>
      <c r="N228" t="n">
        <v>2</v>
      </c>
      <c r="O228" t="n">
        <v>0</v>
      </c>
      <c r="P228" s="7">
        <f>IF(SUM(H228:K228)=0,"",H228/SUM(H228:K228))</f>
        <v/>
      </c>
      <c r="Q228" s="7">
        <f>IF(SUM(H228:K228)=0,"",I228/SUM(H228:K228))</f>
        <v/>
      </c>
      <c r="R228" s="7">
        <f>IF(SUM(H228:K228)=0,"",J228/SUM(H228:K228))</f>
        <v/>
      </c>
      <c r="S228" s="7">
        <f>IF(SUM(H228:K228)=0,"",K228/SUM(H228:K228))</f>
        <v/>
      </c>
      <c r="T228" s="7">
        <f>IF(SUM(L228:O228)=0,"",L228/SUM(L228:O228))</f>
        <v/>
      </c>
      <c r="U228" s="7">
        <f>IF(SUM(L228:O228)=0,"",M228/SUM(L228:O228))</f>
        <v/>
      </c>
      <c r="V228" s="7">
        <f>IF(SUM(L228:O228)=0,"",N228/SUM(L228:O228))</f>
        <v/>
      </c>
      <c r="W228" s="7">
        <f>IF(SUM(L228:O228)=0,"",O228/SUM(L228:O228))</f>
        <v/>
      </c>
    </row>
    <row r="229">
      <c r="A229" t="n">
        <v>246</v>
      </c>
      <c r="B229" t="inlineStr">
        <is>
          <t>[community_foundation_tag]'s Communityworks fund provided 15% of the funding for Community-centered grants focused in the areas of early childhood, land use and protection, and workforce development.</t>
        </is>
      </c>
      <c r="C229" t="n">
        <v>0</v>
      </c>
      <c r="D229" t="n">
        <v>2</v>
      </c>
      <c r="E229" t="n">
        <v>0</v>
      </c>
      <c r="F229" t="n">
        <v>0</v>
      </c>
      <c r="G229" t="b">
        <v>0</v>
      </c>
      <c r="H229" t="n">
        <v>0</v>
      </c>
      <c r="I229" t="n">
        <v>0</v>
      </c>
      <c r="J229" t="n">
        <v>0</v>
      </c>
      <c r="K229" t="n">
        <v>0</v>
      </c>
      <c r="L229" t="n">
        <v>2</v>
      </c>
      <c r="M229" t="n">
        <v>3</v>
      </c>
      <c r="N229" t="n">
        <v>1</v>
      </c>
      <c r="O229" t="n">
        <v>0</v>
      </c>
      <c r="P229" s="7">
        <f>IF(SUM(H229:K229)=0,"",H229/SUM(H229:K229))</f>
        <v/>
      </c>
      <c r="Q229" s="7">
        <f>IF(SUM(H229:K229)=0,"",I229/SUM(H229:K229))</f>
        <v/>
      </c>
      <c r="R229" s="7">
        <f>IF(SUM(H229:K229)=0,"",J229/SUM(H229:K229))</f>
        <v/>
      </c>
      <c r="S229" s="7">
        <f>IF(SUM(H229:K229)=0,"",K229/SUM(H229:K229))</f>
        <v/>
      </c>
      <c r="T229" s="7">
        <f>IF(SUM(L229:O229)=0,"",L229/SUM(L229:O229))</f>
        <v/>
      </c>
      <c r="U229" s="7">
        <f>IF(SUM(L229:O229)=0,"",M229/SUM(L229:O229))</f>
        <v/>
      </c>
      <c r="V229" s="7">
        <f>IF(SUM(L229:O229)=0,"",N229/SUM(L229:O229))</f>
        <v/>
      </c>
      <c r="W229" s="7">
        <f>IF(SUM(L229:O229)=0,"",O229/SUM(L229:O229))</f>
        <v/>
      </c>
    </row>
    <row r="230">
      <c r="A230" t="n">
        <v>247</v>
      </c>
      <c r="B230" t="inlineStr">
        <is>
          <t>[community_foundation_tag] was honored to partner on a community-centered process to distribute $248,500 in United Way of Metro Chicago funds as a partner in Evanston Cradle to Career.</t>
        </is>
      </c>
      <c r="C230" t="n">
        <v>2</v>
      </c>
      <c r="D230" t="n">
        <v>2</v>
      </c>
      <c r="E230" t="n">
        <v>1</v>
      </c>
      <c r="F230" t="n">
        <v>0</v>
      </c>
      <c r="G230" t="b">
        <v>1</v>
      </c>
      <c r="H230" t="n">
        <v>0</v>
      </c>
      <c r="I230" t="n">
        <v>0</v>
      </c>
      <c r="J230" t="n">
        <v>1</v>
      </c>
      <c r="K230" t="n">
        <v>2</v>
      </c>
      <c r="L230" t="n">
        <v>0</v>
      </c>
      <c r="M230" t="n">
        <v>0</v>
      </c>
      <c r="N230" t="n">
        <v>4</v>
      </c>
      <c r="O230" t="n">
        <v>2</v>
      </c>
      <c r="P230" s="7">
        <f>IF(SUM(H230:K230)=0,"",H230/SUM(H230:K230))</f>
        <v/>
      </c>
      <c r="Q230" s="7">
        <f>IF(SUM(H230:K230)=0,"",I230/SUM(H230:K230))</f>
        <v/>
      </c>
      <c r="R230" s="7">
        <f>IF(SUM(H230:K230)=0,"",J230/SUM(H230:K230))</f>
        <v/>
      </c>
      <c r="S230" s="7">
        <f>IF(SUM(H230:K230)=0,"",K230/SUM(H230:K230))</f>
        <v/>
      </c>
      <c r="T230" s="7">
        <f>IF(SUM(L230:O230)=0,"",L230/SUM(L230:O230))</f>
        <v/>
      </c>
      <c r="U230" s="7">
        <f>IF(SUM(L230:O230)=0,"",M230/SUM(L230:O230))</f>
        <v/>
      </c>
      <c r="V230" s="7">
        <f>IF(SUM(L230:O230)=0,"",N230/SUM(L230:O230))</f>
        <v/>
      </c>
      <c r="W230" s="7">
        <f>IF(SUM(L230:O230)=0,"",O230/SUM(L230:O230))</f>
        <v/>
      </c>
    </row>
    <row r="231">
      <c r="A231" t="n">
        <v>248</v>
      </c>
      <c r="B231" t="inlineStr">
        <is>
          <t>Leadership of [community_foundation_tag]</t>
        </is>
      </c>
      <c r="C231" t="n">
        <v>0</v>
      </c>
      <c r="D231" t="n">
        <v>0</v>
      </c>
      <c r="E231" t="n">
        <v>0</v>
      </c>
      <c r="F231" t="n">
        <v>0</v>
      </c>
      <c r="G231" t="b">
        <v>0</v>
      </c>
      <c r="H231" t="n">
        <v>0</v>
      </c>
      <c r="I231" t="n">
        <v>0</v>
      </c>
      <c r="J231" t="n">
        <v>0</v>
      </c>
      <c r="K231" t="n">
        <v>0</v>
      </c>
      <c r="L231" t="n">
        <v>0</v>
      </c>
      <c r="M231" t="n">
        <v>0</v>
      </c>
      <c r="N231" t="n">
        <v>0</v>
      </c>
      <c r="O231" t="n">
        <v>0</v>
      </c>
      <c r="P231" s="7">
        <f>IF(SUM(H231:K231)=0,"",H231/SUM(H231:K231))</f>
        <v/>
      </c>
      <c r="Q231" s="7">
        <f>IF(SUM(H231:K231)=0,"",I231/SUM(H231:K231))</f>
        <v/>
      </c>
      <c r="R231" s="7">
        <f>IF(SUM(H231:K231)=0,"",J231/SUM(H231:K231))</f>
        <v/>
      </c>
      <c r="S231" s="7">
        <f>IF(SUM(H231:K231)=0,"",K231/SUM(H231:K231))</f>
        <v/>
      </c>
      <c r="T231" s="7">
        <f>IF(SUM(L231:O231)=0,"",L231/SUM(L231:O231))</f>
        <v/>
      </c>
      <c r="U231" s="7">
        <f>IF(SUM(L231:O231)=0,"",M231/SUM(L231:O231))</f>
        <v/>
      </c>
      <c r="V231" s="7">
        <f>IF(SUM(L231:O231)=0,"",N231/SUM(L231:O231))</f>
        <v/>
      </c>
      <c r="W231" s="7">
        <f>IF(SUM(L231:O231)=0,"",O231/SUM(L231:O231))</f>
        <v/>
      </c>
    </row>
    <row r="232">
      <c r="A232" t="n">
        <v>249</v>
      </c>
      <c r="B232" t="inlineStr">
        <is>
          <t>Board of Directors</t>
        </is>
      </c>
      <c r="C232" t="n">
        <v>0</v>
      </c>
      <c r="D232" t="n">
        <v>1</v>
      </c>
      <c r="E232" t="n">
        <v>0</v>
      </c>
      <c r="F232" t="n">
        <v>0</v>
      </c>
      <c r="G232" t="b">
        <v>0</v>
      </c>
      <c r="H232" t="n">
        <v>0</v>
      </c>
      <c r="I232" t="n">
        <v>0</v>
      </c>
      <c r="J232" t="n">
        <v>0</v>
      </c>
      <c r="K232" t="n">
        <v>0</v>
      </c>
      <c r="L232" t="n">
        <v>2</v>
      </c>
      <c r="M232" t="n">
        <v>0</v>
      </c>
      <c r="N232" t="n">
        <v>1</v>
      </c>
      <c r="O232" t="n">
        <v>0</v>
      </c>
      <c r="P232" s="7">
        <f>IF(SUM(H232:K232)=0,"",H232/SUM(H232:K232))</f>
        <v/>
      </c>
      <c r="Q232" s="7">
        <f>IF(SUM(H232:K232)=0,"",I232/SUM(H232:K232))</f>
        <v/>
      </c>
      <c r="R232" s="7">
        <f>IF(SUM(H232:K232)=0,"",J232/SUM(H232:K232))</f>
        <v/>
      </c>
      <c r="S232" s="7">
        <f>IF(SUM(H232:K232)=0,"",K232/SUM(H232:K232))</f>
        <v/>
      </c>
      <c r="T232" s="7">
        <f>IF(SUM(L232:O232)=0,"",L232/SUM(L232:O232))</f>
        <v/>
      </c>
      <c r="U232" s="7">
        <f>IF(SUM(L232:O232)=0,"",M232/SUM(L232:O232))</f>
        <v/>
      </c>
      <c r="V232" s="7">
        <f>IF(SUM(L232:O232)=0,"",N232/SUM(L232:O232))</f>
        <v/>
      </c>
      <c r="W232" s="7">
        <f>IF(SUM(L232:O232)=0,"",O232/SUM(L232:O232))</f>
        <v/>
      </c>
    </row>
    <row r="233">
      <c r="A233" t="n">
        <v>250</v>
      </c>
      <c r="B233" t="inlineStr">
        <is>
          <t>[individual_tag], Past Chair</t>
        </is>
      </c>
      <c r="C233" t="n">
        <v>0</v>
      </c>
      <c r="D233" t="n">
        <v>1</v>
      </c>
      <c r="E233" t="n">
        <v>0</v>
      </c>
      <c r="F233" t="n">
        <v>0</v>
      </c>
      <c r="G233" t="b">
        <v>0</v>
      </c>
      <c r="H233" t="n">
        <v>0</v>
      </c>
      <c r="I233" t="n">
        <v>0</v>
      </c>
      <c r="J233" t="n">
        <v>0</v>
      </c>
      <c r="K233" t="n">
        <v>0</v>
      </c>
      <c r="L233" t="n">
        <v>2</v>
      </c>
      <c r="M233" t="n">
        <v>0</v>
      </c>
      <c r="N233" t="n">
        <v>1</v>
      </c>
      <c r="O233" t="n">
        <v>0</v>
      </c>
      <c r="P233" s="7">
        <f>IF(SUM(H233:K233)=0,"",H233/SUM(H233:K233))</f>
        <v/>
      </c>
      <c r="Q233" s="7">
        <f>IF(SUM(H233:K233)=0,"",I233/SUM(H233:K233))</f>
        <v/>
      </c>
      <c r="R233" s="7">
        <f>IF(SUM(H233:K233)=0,"",J233/SUM(H233:K233))</f>
        <v/>
      </c>
      <c r="S233" s="7">
        <f>IF(SUM(H233:K233)=0,"",K233/SUM(H233:K233))</f>
        <v/>
      </c>
      <c r="T233" s="7">
        <f>IF(SUM(L233:O233)=0,"",L233/SUM(L233:O233))</f>
        <v/>
      </c>
      <c r="U233" s="7">
        <f>IF(SUM(L233:O233)=0,"",M233/SUM(L233:O233))</f>
        <v/>
      </c>
      <c r="V233" s="7">
        <f>IF(SUM(L233:O233)=0,"",N233/SUM(L233:O233))</f>
        <v/>
      </c>
      <c r="W233" s="7">
        <f>IF(SUM(L233:O233)=0,"",O233/SUM(L233:O233))</f>
        <v/>
      </c>
    </row>
    <row r="234">
      <c r="A234" t="n">
        <v>252</v>
      </c>
      <c r="B234" t="inlineStr">
        <is>
          <t>[individual_tag] (retired)</t>
        </is>
      </c>
      <c r="C234" t="n">
        <v>0</v>
      </c>
      <c r="D234" t="n">
        <v>1</v>
      </c>
      <c r="E234" t="n">
        <v>0</v>
      </c>
      <c r="F234" t="n">
        <v>0</v>
      </c>
      <c r="G234" t="b">
        <v>0</v>
      </c>
      <c r="H234" t="n">
        <v>0</v>
      </c>
      <c r="I234" t="n">
        <v>0</v>
      </c>
      <c r="J234" t="n">
        <v>0</v>
      </c>
      <c r="K234" t="n">
        <v>0</v>
      </c>
      <c r="L234" t="n">
        <v>2</v>
      </c>
      <c r="M234" t="n">
        <v>0</v>
      </c>
      <c r="N234" t="n">
        <v>1</v>
      </c>
      <c r="O234" t="n">
        <v>0</v>
      </c>
      <c r="P234" s="7">
        <f>IF(SUM(H234:K234)=0,"",H234/SUM(H234:K234))</f>
        <v/>
      </c>
      <c r="Q234" s="7">
        <f>IF(SUM(H234:K234)=0,"",I234/SUM(H234:K234))</f>
        <v/>
      </c>
      <c r="R234" s="7">
        <f>IF(SUM(H234:K234)=0,"",J234/SUM(H234:K234))</f>
        <v/>
      </c>
      <c r="S234" s="7">
        <f>IF(SUM(H234:K234)=0,"",K234/SUM(H234:K234))</f>
        <v/>
      </c>
      <c r="T234" s="7">
        <f>IF(SUM(L234:O234)=0,"",L234/SUM(L234:O234))</f>
        <v/>
      </c>
      <c r="U234" s="7">
        <f>IF(SUM(L234:O234)=0,"",M234/SUM(L234:O234))</f>
        <v/>
      </c>
      <c r="V234" s="7">
        <f>IF(SUM(L234:O234)=0,"",N234/SUM(L234:O234))</f>
        <v/>
      </c>
      <c r="W234" s="7">
        <f>IF(SUM(L234:O234)=0,"",O234/SUM(L234:O234))</f>
        <v/>
      </c>
    </row>
    <row r="235">
      <c r="A235" t="n">
        <v>253</v>
      </c>
      <c r="B235" t="inlineStr">
        <is>
          <t>[individual_tag], Treasurer</t>
        </is>
      </c>
      <c r="C235" t="n">
        <v>0</v>
      </c>
      <c r="D235" t="n">
        <v>1</v>
      </c>
      <c r="E235" t="n">
        <v>0</v>
      </c>
      <c r="F235" t="n">
        <v>0</v>
      </c>
      <c r="G235" t="b">
        <v>0</v>
      </c>
      <c r="H235" t="n">
        <v>0</v>
      </c>
      <c r="I235" t="n">
        <v>0</v>
      </c>
      <c r="J235" t="n">
        <v>0</v>
      </c>
      <c r="K235" t="n">
        <v>0</v>
      </c>
      <c r="L235" t="n">
        <v>2</v>
      </c>
      <c r="M235" t="n">
        <v>0</v>
      </c>
      <c r="N235" t="n">
        <v>1</v>
      </c>
      <c r="O235" t="n">
        <v>0</v>
      </c>
      <c r="P235" s="7">
        <f>IF(SUM(H235:K235)=0,"",H235/SUM(H235:K235))</f>
        <v/>
      </c>
      <c r="Q235" s="7">
        <f>IF(SUM(H235:K235)=0,"",I235/SUM(H235:K235))</f>
        <v/>
      </c>
      <c r="R235" s="7">
        <f>IF(SUM(H235:K235)=0,"",J235/SUM(H235:K235))</f>
        <v/>
      </c>
      <c r="S235" s="7">
        <f>IF(SUM(H235:K235)=0,"",K235/SUM(H235:K235))</f>
        <v/>
      </c>
      <c r="T235" s="7">
        <f>IF(SUM(L235:O235)=0,"",L235/SUM(L235:O235))</f>
        <v/>
      </c>
      <c r="U235" s="7">
        <f>IF(SUM(L235:O235)=0,"",M235/SUM(L235:O235))</f>
        <v/>
      </c>
      <c r="V235" s="7">
        <f>IF(SUM(L235:O235)=0,"",N235/SUM(L235:O235))</f>
        <v/>
      </c>
      <c r="W235" s="7">
        <f>IF(SUM(L235:O235)=0,"",O235/SUM(L235:O235))</f>
        <v/>
      </c>
    </row>
    <row r="236">
      <c r="A236" t="n">
        <v>255</v>
      </c>
      <c r="B236" t="inlineStr">
        <is>
          <t>[individual_tag], Secretary</t>
        </is>
      </c>
      <c r="C236" t="n">
        <v>0</v>
      </c>
      <c r="D236" t="n">
        <v>1</v>
      </c>
      <c r="E236" t="n">
        <v>0</v>
      </c>
      <c r="F236" t="n">
        <v>0</v>
      </c>
      <c r="G236" t="b">
        <v>0</v>
      </c>
      <c r="H236" t="n">
        <v>0</v>
      </c>
      <c r="I236" t="n">
        <v>0</v>
      </c>
      <c r="J236" t="n">
        <v>0</v>
      </c>
      <c r="K236" t="n">
        <v>0</v>
      </c>
      <c r="L236" t="n">
        <v>2</v>
      </c>
      <c r="M236" t="n">
        <v>0</v>
      </c>
      <c r="N236" t="n">
        <v>1</v>
      </c>
      <c r="O236" t="n">
        <v>0</v>
      </c>
      <c r="P236" s="7">
        <f>IF(SUM(H236:K236)=0,"",H236/SUM(H236:K236))</f>
        <v/>
      </c>
      <c r="Q236" s="7">
        <f>IF(SUM(H236:K236)=0,"",I236/SUM(H236:K236))</f>
        <v/>
      </c>
      <c r="R236" s="7">
        <f>IF(SUM(H236:K236)=0,"",J236/SUM(H236:K236))</f>
        <v/>
      </c>
      <c r="S236" s="7">
        <f>IF(SUM(H236:K236)=0,"",K236/SUM(H236:K236))</f>
        <v/>
      </c>
      <c r="T236" s="7">
        <f>IF(SUM(L236:O236)=0,"",L236/SUM(L236:O236))</f>
        <v/>
      </c>
      <c r="U236" s="7">
        <f>IF(SUM(L236:O236)=0,"",M236/SUM(L236:O236))</f>
        <v/>
      </c>
      <c r="V236" s="7">
        <f>IF(SUM(L236:O236)=0,"",N236/SUM(L236:O236))</f>
        <v/>
      </c>
      <c r="W236" s="7">
        <f>IF(SUM(L236:O236)=0,"",O236/SUM(L236:O236))</f>
        <v/>
      </c>
    </row>
    <row r="237">
      <c r="A237" t="n">
        <v>257</v>
      </c>
      <c r="B237" t="inlineStr">
        <is>
          <t>[individual_tag], Community</t>
        </is>
      </c>
      <c r="C237" t="n">
        <v>0</v>
      </c>
      <c r="D237" t="n">
        <v>1</v>
      </c>
      <c r="E237" t="n">
        <v>0</v>
      </c>
      <c r="F237" t="n">
        <v>0</v>
      </c>
      <c r="G237" t="b">
        <v>0</v>
      </c>
      <c r="H237" t="n">
        <v>0</v>
      </c>
      <c r="I237" t="n">
        <v>0</v>
      </c>
      <c r="J237" t="n">
        <v>0</v>
      </c>
      <c r="K237" t="n">
        <v>0</v>
      </c>
      <c r="L237" t="n">
        <v>2</v>
      </c>
      <c r="M237" t="n">
        <v>0</v>
      </c>
      <c r="N237" t="n">
        <v>1</v>
      </c>
      <c r="O237" t="n">
        <v>0</v>
      </c>
      <c r="P237" s="7">
        <f>IF(SUM(H237:K237)=0,"",H237/SUM(H237:K237))</f>
        <v/>
      </c>
      <c r="Q237" s="7">
        <f>IF(SUM(H237:K237)=0,"",I237/SUM(H237:K237))</f>
        <v/>
      </c>
      <c r="R237" s="7">
        <f>IF(SUM(H237:K237)=0,"",J237/SUM(H237:K237))</f>
        <v/>
      </c>
      <c r="S237" s="7">
        <f>IF(SUM(H237:K237)=0,"",K237/SUM(H237:K237))</f>
        <v/>
      </c>
      <c r="T237" s="7">
        <f>IF(SUM(L237:O237)=0,"",L237/SUM(L237:O237))</f>
        <v/>
      </c>
      <c r="U237" s="7">
        <f>IF(SUM(L237:O237)=0,"",M237/SUM(L237:O237))</f>
        <v/>
      </c>
      <c r="V237" s="7">
        <f>IF(SUM(L237:O237)=0,"",N237/SUM(L237:O237))</f>
        <v/>
      </c>
      <c r="W237" s="7">
        <f>IF(SUM(L237:O237)=0,"",O237/SUM(L237:O237))</f>
        <v/>
      </c>
    </row>
    <row r="238">
      <c r="A238" t="n">
        <v>258</v>
      </c>
      <c r="B238" t="inlineStr">
        <is>
          <t>Investment Chair</t>
        </is>
      </c>
      <c r="C238" t="n">
        <v>0</v>
      </c>
      <c r="D238" t="n">
        <v>1</v>
      </c>
      <c r="E238" t="n">
        <v>0</v>
      </c>
      <c r="F238" t="n">
        <v>0</v>
      </c>
      <c r="G238" t="b">
        <v>0</v>
      </c>
      <c r="H238" t="n">
        <v>0</v>
      </c>
      <c r="I238" t="n">
        <v>0</v>
      </c>
      <c r="J238" t="n">
        <v>0</v>
      </c>
      <c r="K238" t="n">
        <v>0</v>
      </c>
      <c r="L238" t="n">
        <v>2</v>
      </c>
      <c r="M238" t="n">
        <v>0</v>
      </c>
      <c r="N238" t="n">
        <v>1</v>
      </c>
      <c r="O238" t="n">
        <v>0</v>
      </c>
      <c r="P238" s="7">
        <f>IF(SUM(H238:K238)=0,"",H238/SUM(H238:K238))</f>
        <v/>
      </c>
      <c r="Q238" s="7">
        <f>IF(SUM(H238:K238)=0,"",I238/SUM(H238:K238))</f>
        <v/>
      </c>
      <c r="R238" s="7">
        <f>IF(SUM(H238:K238)=0,"",J238/SUM(H238:K238))</f>
        <v/>
      </c>
      <c r="S238" s="7">
        <f>IF(SUM(H238:K238)=0,"",K238/SUM(H238:K238))</f>
        <v/>
      </c>
      <c r="T238" s="7">
        <f>IF(SUM(L238:O238)=0,"",L238/SUM(L238:O238))</f>
        <v/>
      </c>
      <c r="U238" s="7">
        <f>IF(SUM(L238:O238)=0,"",M238/SUM(L238:O238))</f>
        <v/>
      </c>
      <c r="V238" s="7">
        <f>IF(SUM(L238:O238)=0,"",N238/SUM(L238:O238))</f>
        <v/>
      </c>
      <c r="W238" s="7">
        <f>IF(SUM(L238:O238)=0,"",O238/SUM(L238:O238))</f>
        <v/>
      </c>
    </row>
    <row r="239">
      <c r="A239" t="n">
        <v>264</v>
      </c>
      <c r="B239" t="inlineStr">
        <is>
          <t>[individual_tag], Vice Chair</t>
        </is>
      </c>
      <c r="C239" t="n">
        <v>0</v>
      </c>
      <c r="D239" t="n">
        <v>1</v>
      </c>
      <c r="E239" t="n">
        <v>0</v>
      </c>
      <c r="F239" t="n">
        <v>0</v>
      </c>
      <c r="G239" t="b">
        <v>0</v>
      </c>
      <c r="H239" t="n">
        <v>0</v>
      </c>
      <c r="I239" t="n">
        <v>0</v>
      </c>
      <c r="J239" t="n">
        <v>0</v>
      </c>
      <c r="K239" t="n">
        <v>0</v>
      </c>
      <c r="L239" t="n">
        <v>2</v>
      </c>
      <c r="M239" t="n">
        <v>0</v>
      </c>
      <c r="N239" t="n">
        <v>1</v>
      </c>
      <c r="O239" t="n">
        <v>0</v>
      </c>
      <c r="P239" s="7">
        <f>IF(SUM(H239:K239)=0,"",H239/SUM(H239:K239))</f>
        <v/>
      </c>
      <c r="Q239" s="7">
        <f>IF(SUM(H239:K239)=0,"",I239/SUM(H239:K239))</f>
        <v/>
      </c>
      <c r="R239" s="7">
        <f>IF(SUM(H239:K239)=0,"",J239/SUM(H239:K239))</f>
        <v/>
      </c>
      <c r="S239" s="7">
        <f>IF(SUM(H239:K239)=0,"",K239/SUM(H239:K239))</f>
        <v/>
      </c>
      <c r="T239" s="7">
        <f>IF(SUM(L239:O239)=0,"",L239/SUM(L239:O239))</f>
        <v/>
      </c>
      <c r="U239" s="7">
        <f>IF(SUM(L239:O239)=0,"",M239/SUM(L239:O239))</f>
        <v/>
      </c>
      <c r="V239" s="7">
        <f>IF(SUM(L239:O239)=0,"",N239/SUM(L239:O239))</f>
        <v/>
      </c>
      <c r="W239" s="7">
        <f>IF(SUM(L239:O239)=0,"",O239/SUM(L239:O239))</f>
        <v/>
      </c>
    </row>
    <row r="240">
      <c r="A240" t="n">
        <v>268</v>
      </c>
      <c r="B240" t="inlineStr">
        <is>
          <t>[individual_tag], Chair</t>
        </is>
      </c>
      <c r="C240" t="n">
        <v>0</v>
      </c>
      <c r="D240" t="n">
        <v>1</v>
      </c>
      <c r="E240" t="n">
        <v>0</v>
      </c>
      <c r="F240" t="n">
        <v>0</v>
      </c>
      <c r="G240" t="b">
        <v>0</v>
      </c>
      <c r="H240" t="n">
        <v>0</v>
      </c>
      <c r="I240" t="n">
        <v>0</v>
      </c>
      <c r="J240" t="n">
        <v>0</v>
      </c>
      <c r="K240" t="n">
        <v>0</v>
      </c>
      <c r="L240" t="n">
        <v>2</v>
      </c>
      <c r="M240" t="n">
        <v>0</v>
      </c>
      <c r="N240" t="n">
        <v>1</v>
      </c>
      <c r="O240" t="n">
        <v>0</v>
      </c>
      <c r="P240" s="7">
        <f>IF(SUM(H240:K240)=0,"",H240/SUM(H240:K240))</f>
        <v/>
      </c>
      <c r="Q240" s="7">
        <f>IF(SUM(H240:K240)=0,"",I240/SUM(H240:K240))</f>
        <v/>
      </c>
      <c r="R240" s="7">
        <f>IF(SUM(H240:K240)=0,"",J240/SUM(H240:K240))</f>
        <v/>
      </c>
      <c r="S240" s="7">
        <f>IF(SUM(H240:K240)=0,"",K240/SUM(H240:K240))</f>
        <v/>
      </c>
      <c r="T240" s="7">
        <f>IF(SUM(L240:O240)=0,"",L240/SUM(L240:O240))</f>
        <v/>
      </c>
      <c r="U240" s="7">
        <f>IF(SUM(L240:O240)=0,"",M240/SUM(L240:O240))</f>
        <v/>
      </c>
      <c r="V240" s="7">
        <f>IF(SUM(L240:O240)=0,"",N240/SUM(L240:O240))</f>
        <v/>
      </c>
      <c r="W240" s="7">
        <f>IF(SUM(L240:O240)=0,"",O240/SUM(L240:O240))</f>
        <v/>
      </c>
    </row>
    <row r="241">
      <c r="A241" t="n">
        <v>270</v>
      </c>
      <c r="B241" t="inlineStr">
        <is>
          <t>[individual_tag], Governance Chair</t>
        </is>
      </c>
      <c r="C241" t="n">
        <v>0</v>
      </c>
      <c r="D241" t="n">
        <v>1</v>
      </c>
      <c r="E241" t="n">
        <v>0</v>
      </c>
      <c r="F241" t="n">
        <v>0</v>
      </c>
      <c r="G241" t="b">
        <v>0</v>
      </c>
      <c r="H241" t="n">
        <v>0</v>
      </c>
      <c r="I241" t="n">
        <v>0</v>
      </c>
      <c r="J241" t="n">
        <v>0</v>
      </c>
      <c r="K241" t="n">
        <v>0</v>
      </c>
      <c r="L241" t="n">
        <v>1</v>
      </c>
      <c r="M241" t="n">
        <v>0</v>
      </c>
      <c r="N241" t="n">
        <v>2</v>
      </c>
      <c r="O241" t="n">
        <v>0</v>
      </c>
      <c r="P241" s="7">
        <f>IF(SUM(H241:K241)=0,"",H241/SUM(H241:K241))</f>
        <v/>
      </c>
      <c r="Q241" s="7">
        <f>IF(SUM(H241:K241)=0,"",I241/SUM(H241:K241))</f>
        <v/>
      </c>
      <c r="R241" s="7">
        <f>IF(SUM(H241:K241)=0,"",J241/SUM(H241:K241))</f>
        <v/>
      </c>
      <c r="S241" s="7">
        <f>IF(SUM(H241:K241)=0,"",K241/SUM(H241:K241))</f>
        <v/>
      </c>
      <c r="T241" s="7">
        <f>IF(SUM(L241:O241)=0,"",L241/SUM(L241:O241))</f>
        <v/>
      </c>
      <c r="U241" s="7">
        <f>IF(SUM(L241:O241)=0,"",M241/SUM(L241:O241))</f>
        <v/>
      </c>
      <c r="V241" s="7">
        <f>IF(SUM(L241:O241)=0,"",N241/SUM(L241:O241))</f>
        <v/>
      </c>
      <c r="W241" s="7">
        <f>IF(SUM(L241:O241)=0,"",O241/SUM(L241:O241))</f>
        <v/>
      </c>
    </row>
    <row r="242">
      <c r="A242" t="n">
        <v>271</v>
      </c>
      <c r="B242" t="inlineStr">
        <is>
          <t>[individual_tag], Philanthropic</t>
        </is>
      </c>
      <c r="C242" t="n">
        <v>0</v>
      </c>
      <c r="D242" t="n">
        <v>1</v>
      </c>
      <c r="E242" t="n">
        <v>0</v>
      </c>
      <c r="F242" t="n">
        <v>0</v>
      </c>
      <c r="G242" t="b">
        <v>0</v>
      </c>
      <c r="H242" t="n">
        <v>0</v>
      </c>
      <c r="I242" t="n">
        <v>0</v>
      </c>
      <c r="J242" t="n">
        <v>0</v>
      </c>
      <c r="K242" t="n">
        <v>0</v>
      </c>
      <c r="L242" t="n">
        <v>1</v>
      </c>
      <c r="M242" t="n">
        <v>2</v>
      </c>
      <c r="N242" t="n">
        <v>0</v>
      </c>
      <c r="O242" t="n">
        <v>0</v>
      </c>
      <c r="P242" s="7">
        <f>IF(SUM(H242:K242)=0,"",H242/SUM(H242:K242))</f>
        <v/>
      </c>
      <c r="Q242" s="7">
        <f>IF(SUM(H242:K242)=0,"",I242/SUM(H242:K242))</f>
        <v/>
      </c>
      <c r="R242" s="7">
        <f>IF(SUM(H242:K242)=0,"",J242/SUM(H242:K242))</f>
        <v/>
      </c>
      <c r="S242" s="7">
        <f>IF(SUM(H242:K242)=0,"",K242/SUM(H242:K242))</f>
        <v/>
      </c>
      <c r="T242" s="7">
        <f>IF(SUM(L242:O242)=0,"",L242/SUM(L242:O242))</f>
        <v/>
      </c>
      <c r="U242" s="7">
        <f>IF(SUM(L242:O242)=0,"",M242/SUM(L242:O242))</f>
        <v/>
      </c>
      <c r="V242" s="7">
        <f>IF(SUM(L242:O242)=0,"",N242/SUM(L242:O242))</f>
        <v/>
      </c>
      <c r="W242" s="7">
        <f>IF(SUM(L242:O242)=0,"",O242/SUM(L242:O242))</f>
        <v/>
      </c>
    </row>
    <row r="243">
      <c r="A243" t="n">
        <v>272</v>
      </c>
      <c r="B243" t="inlineStr">
        <is>
          <t>Engagement Chair</t>
        </is>
      </c>
      <c r="C243" t="n">
        <v>0</v>
      </c>
      <c r="D243" t="n">
        <v>1</v>
      </c>
      <c r="E243" t="n">
        <v>0</v>
      </c>
      <c r="F243" t="n">
        <v>0</v>
      </c>
      <c r="G243" t="b">
        <v>0</v>
      </c>
      <c r="H243" t="n">
        <v>0</v>
      </c>
      <c r="I243" t="n">
        <v>0</v>
      </c>
      <c r="J243" t="n">
        <v>0</v>
      </c>
      <c r="K243" t="n">
        <v>0</v>
      </c>
      <c r="L243" t="n">
        <v>1</v>
      </c>
      <c r="M243" t="n">
        <v>2</v>
      </c>
      <c r="N243" t="n">
        <v>0</v>
      </c>
      <c r="O243" t="n">
        <v>0</v>
      </c>
      <c r="P243" s="7">
        <f>IF(SUM(H243:K243)=0,"",H243/SUM(H243:K243))</f>
        <v/>
      </c>
      <c r="Q243" s="7">
        <f>IF(SUM(H243:K243)=0,"",I243/SUM(H243:K243))</f>
        <v/>
      </c>
      <c r="R243" s="7">
        <f>IF(SUM(H243:K243)=0,"",J243/SUM(H243:K243))</f>
        <v/>
      </c>
      <c r="S243" s="7">
        <f>IF(SUM(H243:K243)=0,"",K243/SUM(H243:K243))</f>
        <v/>
      </c>
      <c r="T243" s="7">
        <f>IF(SUM(L243:O243)=0,"",L243/SUM(L243:O243))</f>
        <v/>
      </c>
      <c r="U243" s="7">
        <f>IF(SUM(L243:O243)=0,"",M243/SUM(L243:O243))</f>
        <v/>
      </c>
      <c r="V243" s="7">
        <f>IF(SUM(L243:O243)=0,"",N243/SUM(L243:O243))</f>
        <v/>
      </c>
      <c r="W243" s="7">
        <f>IF(SUM(L243:O243)=0,"",O243/SUM(L243:O243))</f>
        <v/>
      </c>
    </row>
    <row r="244">
      <c r="A244" t="n">
        <v>274</v>
      </c>
      <c r="B244" t="inlineStr">
        <is>
          <t>Leadership Network</t>
        </is>
      </c>
      <c r="C244" t="n">
        <v>0</v>
      </c>
      <c r="D244" t="n">
        <v>0</v>
      </c>
      <c r="E244" t="n">
        <v>0</v>
      </c>
      <c r="F244" t="n">
        <v>0</v>
      </c>
      <c r="G244" t="b">
        <v>0</v>
      </c>
      <c r="H244" t="n">
        <v>0</v>
      </c>
      <c r="I244" t="n">
        <v>0</v>
      </c>
      <c r="J244" t="n">
        <v>0</v>
      </c>
      <c r="K244" t="n">
        <v>0</v>
      </c>
      <c r="L244" t="n">
        <v>0</v>
      </c>
      <c r="M244" t="n">
        <v>0</v>
      </c>
      <c r="N244" t="n">
        <v>0</v>
      </c>
      <c r="O244" t="n">
        <v>0</v>
      </c>
      <c r="P244" s="7">
        <f>IF(SUM(H244:K244)=0,"",H244/SUM(H244:K244))</f>
        <v/>
      </c>
      <c r="Q244" s="7">
        <f>IF(SUM(H244:K244)=0,"",I244/SUM(H244:K244))</f>
        <v/>
      </c>
      <c r="R244" s="7">
        <f>IF(SUM(H244:K244)=0,"",J244/SUM(H244:K244))</f>
        <v/>
      </c>
      <c r="S244" s="7">
        <f>IF(SUM(H244:K244)=0,"",K244/SUM(H244:K244))</f>
        <v/>
      </c>
      <c r="T244" s="7">
        <f>IF(SUM(L244:O244)=0,"",L244/SUM(L244:O244))</f>
        <v/>
      </c>
      <c r="U244" s="7">
        <f>IF(SUM(L244:O244)=0,"",M244/SUM(L244:O244))</f>
        <v/>
      </c>
      <c r="V244" s="7">
        <f>IF(SUM(L244:O244)=0,"",N244/SUM(L244:O244))</f>
        <v/>
      </c>
      <c r="W244" s="7">
        <f>IF(SUM(L244:O244)=0,"",O244/SUM(L244:O244))</f>
        <v/>
      </c>
    </row>
    <row r="245">
      <c r="A245" t="n">
        <v>281</v>
      </c>
      <c r="B245" t="inlineStr">
        <is>
          <t>[community_foundation_tag] Committees</t>
        </is>
      </c>
      <c r="C245" t="n">
        <v>0</v>
      </c>
      <c r="D245" t="n">
        <v>1</v>
      </c>
      <c r="E245" t="n">
        <v>0</v>
      </c>
      <c r="F245" t="n">
        <v>0</v>
      </c>
      <c r="G245" t="b">
        <v>0</v>
      </c>
      <c r="H245" t="n">
        <v>0</v>
      </c>
      <c r="I245" t="n">
        <v>0</v>
      </c>
      <c r="J245" t="n">
        <v>0</v>
      </c>
      <c r="K245" t="n">
        <v>0</v>
      </c>
      <c r="L245" t="n">
        <v>2</v>
      </c>
      <c r="M245" t="n">
        <v>0</v>
      </c>
      <c r="N245" t="n">
        <v>1</v>
      </c>
      <c r="O245" t="n">
        <v>0</v>
      </c>
      <c r="P245" s="7">
        <f>IF(SUM(H245:K245)=0,"",H245/SUM(H245:K245))</f>
        <v/>
      </c>
      <c r="Q245" s="7">
        <f>IF(SUM(H245:K245)=0,"",I245/SUM(H245:K245))</f>
        <v/>
      </c>
      <c r="R245" s="7">
        <f>IF(SUM(H245:K245)=0,"",J245/SUM(H245:K245))</f>
        <v/>
      </c>
      <c r="S245" s="7">
        <f>IF(SUM(H245:K245)=0,"",K245/SUM(H245:K245))</f>
        <v/>
      </c>
      <c r="T245" s="7">
        <f>IF(SUM(L245:O245)=0,"",L245/SUM(L245:O245))</f>
        <v/>
      </c>
      <c r="U245" s="7">
        <f>IF(SUM(L245:O245)=0,"",M245/SUM(L245:O245))</f>
        <v/>
      </c>
      <c r="V245" s="7">
        <f>IF(SUM(L245:O245)=0,"",N245/SUM(L245:O245))</f>
        <v/>
      </c>
      <c r="W245" s="7">
        <f>IF(SUM(L245:O245)=0,"",O245/SUM(L245:O245))</f>
        <v/>
      </c>
    </row>
    <row r="246">
      <c r="A246" t="n">
        <v>283</v>
      </c>
      <c r="B246" t="inlineStr">
        <is>
          <t>Celebrate! Evanston</t>
        </is>
      </c>
      <c r="C246" t="n">
        <v>0</v>
      </c>
      <c r="D246" t="n">
        <v>1</v>
      </c>
      <c r="E246" t="n">
        <v>0</v>
      </c>
      <c r="F246" t="n">
        <v>0</v>
      </c>
      <c r="G246" t="b">
        <v>0</v>
      </c>
      <c r="H246" t="n">
        <v>0</v>
      </c>
      <c r="I246" t="n">
        <v>0</v>
      </c>
      <c r="J246" t="n">
        <v>0</v>
      </c>
      <c r="K246" t="n">
        <v>0</v>
      </c>
      <c r="L246" t="n">
        <v>2</v>
      </c>
      <c r="M246" t="n">
        <v>0</v>
      </c>
      <c r="N246" t="n">
        <v>1</v>
      </c>
      <c r="O246" t="n">
        <v>0</v>
      </c>
      <c r="P246" s="7">
        <f>IF(SUM(H246:K246)=0,"",H246/SUM(H246:K246))</f>
        <v/>
      </c>
      <c r="Q246" s="7">
        <f>IF(SUM(H246:K246)=0,"",I246/SUM(H246:K246))</f>
        <v/>
      </c>
      <c r="R246" s="7">
        <f>IF(SUM(H246:K246)=0,"",J246/SUM(H246:K246))</f>
        <v/>
      </c>
      <c r="S246" s="7">
        <f>IF(SUM(H246:K246)=0,"",K246/SUM(H246:K246))</f>
        <v/>
      </c>
      <c r="T246" s="7">
        <f>IF(SUM(L246:O246)=0,"",L246/SUM(L246:O246))</f>
        <v/>
      </c>
      <c r="U246" s="7">
        <f>IF(SUM(L246:O246)=0,"",M246/SUM(L246:O246))</f>
        <v/>
      </c>
      <c r="V246" s="7">
        <f>IF(SUM(L246:O246)=0,"",N246/SUM(L246:O246))</f>
        <v/>
      </c>
      <c r="W246" s="7">
        <f>IF(SUM(L246:O246)=0,"",O246/SUM(L246:O246))</f>
        <v/>
      </c>
    </row>
    <row r="247">
      <c r="A247" t="n">
        <v>284</v>
      </c>
      <c r="B247" t="inlineStr">
        <is>
          <t>Community Investment</t>
        </is>
      </c>
      <c r="C247" t="n">
        <v>0</v>
      </c>
      <c r="D247" t="n">
        <v>1</v>
      </c>
      <c r="E247" t="n">
        <v>0</v>
      </c>
      <c r="F247" t="n">
        <v>0</v>
      </c>
      <c r="G247" t="b">
        <v>0</v>
      </c>
      <c r="H247" t="n">
        <v>0</v>
      </c>
      <c r="I247" t="n">
        <v>0</v>
      </c>
      <c r="J247" t="n">
        <v>0</v>
      </c>
      <c r="K247" t="n">
        <v>0</v>
      </c>
      <c r="L247" t="n">
        <v>2</v>
      </c>
      <c r="M247" t="n">
        <v>0</v>
      </c>
      <c r="N247" t="n">
        <v>1</v>
      </c>
      <c r="O247" t="n">
        <v>0</v>
      </c>
      <c r="P247" s="7">
        <f>IF(SUM(H247:K247)=0,"",H247/SUM(H247:K247))</f>
        <v/>
      </c>
      <c r="Q247" s="7">
        <f>IF(SUM(H247:K247)=0,"",I247/SUM(H247:K247))</f>
        <v/>
      </c>
      <c r="R247" s="7">
        <f>IF(SUM(H247:K247)=0,"",J247/SUM(H247:K247))</f>
        <v/>
      </c>
      <c r="S247" s="7">
        <f>IF(SUM(H247:K247)=0,"",K247/SUM(H247:K247))</f>
        <v/>
      </c>
      <c r="T247" s="7">
        <f>IF(SUM(L247:O247)=0,"",L247/SUM(L247:O247))</f>
        <v/>
      </c>
      <c r="U247" s="7">
        <f>IF(SUM(L247:O247)=0,"",M247/SUM(L247:O247))</f>
        <v/>
      </c>
      <c r="V247" s="7">
        <f>IF(SUM(L247:O247)=0,"",N247/SUM(L247:O247))</f>
        <v/>
      </c>
      <c r="W247" s="7">
        <f>IF(SUM(L247:O247)=0,"",O247/SUM(L247:O247))</f>
        <v/>
      </c>
    </row>
    <row r="248">
      <c r="A248" t="n">
        <v>285</v>
      </c>
      <c r="B248" t="inlineStr">
        <is>
          <t>Finance [individual_tag] [individual_tag] [individual_tag] [individual_tag] [individual_tag] [individual_tag] Governance &amp;amp; Sustainability Investment Council E-town Innovation Grants Selection [individual_tag] [individual_tag] [individual_tag] [individual_tag] [individual_tag] [individual_tag] Nonprofit Growth &amp;amp;</t>
        </is>
      </c>
      <c r="C248" t="n">
        <v>0</v>
      </c>
      <c r="D248" t="n">
        <v>1</v>
      </c>
      <c r="E248" t="n">
        <v>0</v>
      </c>
      <c r="F248" t="n">
        <v>0</v>
      </c>
      <c r="G248" t="b">
        <v>0</v>
      </c>
      <c r="H248" t="n">
        <v>0</v>
      </c>
      <c r="I248" t="n">
        <v>0</v>
      </c>
      <c r="J248" t="n">
        <v>0</v>
      </c>
      <c r="K248" t="n">
        <v>0</v>
      </c>
      <c r="L248" t="n">
        <v>2</v>
      </c>
      <c r="M248" t="n">
        <v>0</v>
      </c>
      <c r="N248" t="n">
        <v>1</v>
      </c>
      <c r="O248" t="n">
        <v>0</v>
      </c>
      <c r="P248" s="7">
        <f>IF(SUM(H248:K248)=0,"",H248/SUM(H248:K248))</f>
        <v/>
      </c>
      <c r="Q248" s="7">
        <f>IF(SUM(H248:K248)=0,"",I248/SUM(H248:K248))</f>
        <v/>
      </c>
      <c r="R248" s="7">
        <f>IF(SUM(H248:K248)=0,"",J248/SUM(H248:K248))</f>
        <v/>
      </c>
      <c r="S248" s="7">
        <f>IF(SUM(H248:K248)=0,"",K248/SUM(H248:K248))</f>
        <v/>
      </c>
      <c r="T248" s="7">
        <f>IF(SUM(L248:O248)=0,"",L248/SUM(L248:O248))</f>
        <v/>
      </c>
      <c r="U248" s="7">
        <f>IF(SUM(L248:O248)=0,"",M248/SUM(L248:O248))</f>
        <v/>
      </c>
      <c r="V248" s="7">
        <f>IF(SUM(L248:O248)=0,"",N248/SUM(L248:O248))</f>
        <v/>
      </c>
      <c r="W248" s="7">
        <f>IF(SUM(L248:O248)=0,"",O248/SUM(L248:O248))</f>
        <v/>
      </c>
    </row>
    <row r="249">
      <c r="A249" t="n">
        <v>286</v>
      </c>
      <c r="B249" t="inlineStr">
        <is>
          <t>Sustainability Grants</t>
        </is>
      </c>
      <c r="C249" t="n">
        <v>0</v>
      </c>
      <c r="D249" t="n">
        <v>1</v>
      </c>
      <c r="E249" t="n">
        <v>0</v>
      </c>
      <c r="F249" t="n">
        <v>0</v>
      </c>
      <c r="G249" t="b">
        <v>0</v>
      </c>
      <c r="H249" t="n">
        <v>0</v>
      </c>
      <c r="I249" t="n">
        <v>0</v>
      </c>
      <c r="J249" t="n">
        <v>0</v>
      </c>
      <c r="K249" t="n">
        <v>0</v>
      </c>
      <c r="L249" t="n">
        <v>1</v>
      </c>
      <c r="M249" t="n">
        <v>0</v>
      </c>
      <c r="N249" t="n">
        <v>2</v>
      </c>
      <c r="O249" t="n">
        <v>0</v>
      </c>
      <c r="P249" s="7">
        <f>IF(SUM(H249:K249)=0,"",H249/SUM(H249:K249))</f>
        <v/>
      </c>
      <c r="Q249" s="7">
        <f>IF(SUM(H249:K249)=0,"",I249/SUM(H249:K249))</f>
        <v/>
      </c>
      <c r="R249" s="7">
        <f>IF(SUM(H249:K249)=0,"",J249/SUM(H249:K249))</f>
        <v/>
      </c>
      <c r="S249" s="7">
        <f>IF(SUM(H249:K249)=0,"",K249/SUM(H249:K249))</f>
        <v/>
      </c>
      <c r="T249" s="7">
        <f>IF(SUM(L249:O249)=0,"",L249/SUM(L249:O249))</f>
        <v/>
      </c>
      <c r="U249" s="7">
        <f>IF(SUM(L249:O249)=0,"",M249/SUM(L249:O249))</f>
        <v/>
      </c>
      <c r="V249" s="7">
        <f>IF(SUM(L249:O249)=0,"",N249/SUM(L249:O249))</f>
        <v/>
      </c>
      <c r="W249" s="7">
        <f>IF(SUM(L249:O249)=0,"",O249/SUM(L249:O249))</f>
        <v/>
      </c>
    </row>
    <row r="250">
      <c r="A250" t="n">
        <v>288</v>
      </c>
      <c r="B250" t="inlineStr">
        <is>
          <t>Philanthropic Engagement</t>
        </is>
      </c>
      <c r="C250" t="n">
        <v>0</v>
      </c>
      <c r="D250" t="n">
        <v>1</v>
      </c>
      <c r="E250" t="n">
        <v>0</v>
      </c>
      <c r="F250" t="n">
        <v>0</v>
      </c>
      <c r="G250" t="b">
        <v>0</v>
      </c>
      <c r="H250" t="n">
        <v>0</v>
      </c>
      <c r="I250" t="n">
        <v>0</v>
      </c>
      <c r="J250" t="n">
        <v>0</v>
      </c>
      <c r="K250" t="n">
        <v>0</v>
      </c>
      <c r="L250" t="n">
        <v>1</v>
      </c>
      <c r="M250" t="n">
        <v>2</v>
      </c>
      <c r="N250" t="n">
        <v>0</v>
      </c>
      <c r="O250" t="n">
        <v>0</v>
      </c>
      <c r="P250" s="7">
        <f>IF(SUM(H250:K250)=0,"",H250/SUM(H250:K250))</f>
        <v/>
      </c>
      <c r="Q250" s="7">
        <f>IF(SUM(H250:K250)=0,"",I250/SUM(H250:K250))</f>
        <v/>
      </c>
      <c r="R250" s="7">
        <f>IF(SUM(H250:K250)=0,"",J250/SUM(H250:K250))</f>
        <v/>
      </c>
      <c r="S250" s="7">
        <f>IF(SUM(H250:K250)=0,"",K250/SUM(H250:K250))</f>
        <v/>
      </c>
      <c r="T250" s="7">
        <f>IF(SUM(L250:O250)=0,"",L250/SUM(L250:O250))</f>
        <v/>
      </c>
      <c r="U250" s="7">
        <f>IF(SUM(L250:O250)=0,"",M250/SUM(L250:O250))</f>
        <v/>
      </c>
      <c r="V250" s="7">
        <f>IF(SUM(L250:O250)=0,"",N250/SUM(L250:O250))</f>
        <v/>
      </c>
      <c r="W250" s="7">
        <f>IF(SUM(L250:O250)=0,"",O250/SUM(L250:O250))</f>
        <v/>
      </c>
    </row>
    <row r="251">
      <c r="A251" t="n">
        <v>289</v>
      </c>
      <c r="B251" t="inlineStr">
        <is>
          <t>[individual_tag] [individual_tag] Hon. [individual_tag]</t>
        </is>
      </c>
      <c r="C251" t="n">
        <v>1</v>
      </c>
      <c r="D251" t="n">
        <v>1</v>
      </c>
      <c r="E251" t="n">
        <v>0</v>
      </c>
      <c r="F251" t="n">
        <v>0</v>
      </c>
      <c r="G251" t="b">
        <v>1</v>
      </c>
      <c r="H251" t="n">
        <v>0</v>
      </c>
      <c r="I251" t="n">
        <v>0</v>
      </c>
      <c r="J251" t="n">
        <v>2</v>
      </c>
      <c r="K251" t="n">
        <v>0</v>
      </c>
      <c r="L251" t="n">
        <v>1</v>
      </c>
      <c r="M251" t="n">
        <v>0</v>
      </c>
      <c r="N251" t="n">
        <v>2</v>
      </c>
      <c r="O251" t="n">
        <v>0</v>
      </c>
      <c r="P251" s="7">
        <f>IF(SUM(H251:K251)=0,"",H251/SUM(H251:K251))</f>
        <v/>
      </c>
      <c r="Q251" s="7">
        <f>IF(SUM(H251:K251)=0,"",I251/SUM(H251:K251))</f>
        <v/>
      </c>
      <c r="R251" s="7">
        <f>IF(SUM(H251:K251)=0,"",J251/SUM(H251:K251))</f>
        <v/>
      </c>
      <c r="S251" s="7">
        <f>IF(SUM(H251:K251)=0,"",K251/SUM(H251:K251))</f>
        <v/>
      </c>
      <c r="T251" s="7">
        <f>IF(SUM(L251:O251)=0,"",L251/SUM(L251:O251))</f>
        <v/>
      </c>
      <c r="U251" s="7">
        <f>IF(SUM(L251:O251)=0,"",M251/SUM(L251:O251))</f>
        <v/>
      </c>
      <c r="V251" s="7">
        <f>IF(SUM(L251:O251)=0,"",N251/SUM(L251:O251))</f>
        <v/>
      </c>
      <c r="W251" s="7">
        <f>IF(SUM(L251:O251)=0,"",O251/SUM(L251:O251))</f>
        <v/>
      </c>
    </row>
    <row r="252">
      <c r="A252" t="n">
        <v>290</v>
      </c>
      <c r="B252" t="inlineStr">
        <is>
          <t>Investment Council</t>
        </is>
      </c>
      <c r="C252" t="n">
        <v>1</v>
      </c>
      <c r="D252" t="n">
        <v>1</v>
      </c>
      <c r="E252" t="n">
        <v>1</v>
      </c>
      <c r="F252" t="n">
        <v>0</v>
      </c>
      <c r="G252" t="b">
        <v>1</v>
      </c>
      <c r="H252" t="n">
        <v>0</v>
      </c>
      <c r="I252" t="n">
        <v>0</v>
      </c>
      <c r="J252" t="n">
        <v>0</v>
      </c>
      <c r="K252" t="n">
        <v>0</v>
      </c>
      <c r="L252" t="n">
        <v>2</v>
      </c>
      <c r="M252" t="n">
        <v>0</v>
      </c>
      <c r="N252" t="n">
        <v>1</v>
      </c>
      <c r="O252" t="n">
        <v>0</v>
      </c>
      <c r="P252" s="7">
        <f>IF(SUM(H252:K252)=0,"",H252/SUM(H252:K252))</f>
        <v/>
      </c>
      <c r="Q252" s="7">
        <f>IF(SUM(H252:K252)=0,"",I252/SUM(H252:K252))</f>
        <v/>
      </c>
      <c r="R252" s="7">
        <f>IF(SUM(H252:K252)=0,"",J252/SUM(H252:K252))</f>
        <v/>
      </c>
      <c r="S252" s="7">
        <f>IF(SUM(H252:K252)=0,"",K252/SUM(H252:K252))</f>
        <v/>
      </c>
      <c r="T252" s="7">
        <f>IF(SUM(L252:O252)=0,"",L252/SUM(L252:O252))</f>
        <v/>
      </c>
      <c r="U252" s="7">
        <f>IF(SUM(L252:O252)=0,"",M252/SUM(L252:O252))</f>
        <v/>
      </c>
      <c r="V252" s="7">
        <f>IF(SUM(L252:O252)=0,"",N252/SUM(L252:O252))</f>
        <v/>
      </c>
      <c r="W252" s="7">
        <f>IF(SUM(L252:O252)=0,"",O252/SUM(L252:O252))</f>
        <v/>
      </c>
    </row>
    <row r="253">
      <c r="A253" t="n">
        <v>291</v>
      </c>
      <c r="B253" t="inlineStr">
        <is>
          <t>Members volunteer their time and expertise.</t>
        </is>
      </c>
      <c r="C253" t="n">
        <v>1</v>
      </c>
      <c r="D253" t="n">
        <v>1</v>
      </c>
      <c r="E253" t="n">
        <v>1</v>
      </c>
      <c r="F253" t="n">
        <v>0</v>
      </c>
      <c r="G253" t="b">
        <v>1</v>
      </c>
      <c r="H253" t="n">
        <v>0</v>
      </c>
      <c r="I253" t="n">
        <v>0</v>
      </c>
      <c r="J253" t="n">
        <v>0</v>
      </c>
      <c r="K253" t="n">
        <v>0</v>
      </c>
      <c r="L253" t="n">
        <v>1</v>
      </c>
      <c r="M253" t="n">
        <v>0</v>
      </c>
      <c r="N253" t="n">
        <v>2</v>
      </c>
      <c r="O253" t="n">
        <v>0</v>
      </c>
      <c r="P253" s="7">
        <f>IF(SUM(H253:K253)=0,"",H253/SUM(H253:K253))</f>
        <v/>
      </c>
      <c r="Q253" s="7">
        <f>IF(SUM(H253:K253)=0,"",I253/SUM(H253:K253))</f>
        <v/>
      </c>
      <c r="R253" s="7">
        <f>IF(SUM(H253:K253)=0,"",J253/SUM(H253:K253))</f>
        <v/>
      </c>
      <c r="S253" s="7">
        <f>IF(SUM(H253:K253)=0,"",K253/SUM(H253:K253))</f>
        <v/>
      </c>
      <c r="T253" s="7">
        <f>IF(SUM(L253:O253)=0,"",L253/SUM(L253:O253))</f>
        <v/>
      </c>
      <c r="U253" s="7">
        <f>IF(SUM(L253:O253)=0,"",M253/SUM(L253:O253))</f>
        <v/>
      </c>
      <c r="V253" s="7">
        <f>IF(SUM(L253:O253)=0,"",N253/SUM(L253:O253))</f>
        <v/>
      </c>
      <c r="W253" s="7">
        <f>IF(SUM(L253:O253)=0,"",O253/SUM(L253:O253))</f>
        <v/>
      </c>
    </row>
    <row r="254">
      <c r="A254" t="n">
        <v>292</v>
      </c>
      <c r="B254" t="inlineStr">
        <is>
          <t>The average tenure of current members is 12 years, and their cumulative professional investment experience is 357 years.</t>
        </is>
      </c>
      <c r="C254" t="n">
        <v>1</v>
      </c>
      <c r="D254" t="n">
        <v>1</v>
      </c>
      <c r="E254" t="n">
        <v>0</v>
      </c>
      <c r="F254" t="n">
        <v>0</v>
      </c>
      <c r="G254" t="b">
        <v>1</v>
      </c>
      <c r="H254" t="n">
        <v>0</v>
      </c>
      <c r="I254" t="n">
        <v>0</v>
      </c>
      <c r="J254" t="n">
        <v>2</v>
      </c>
      <c r="K254" t="n">
        <v>0</v>
      </c>
      <c r="L254" t="n">
        <v>2</v>
      </c>
      <c r="M254" t="n">
        <v>0</v>
      </c>
      <c r="N254" t="n">
        <v>1</v>
      </c>
      <c r="O254" t="n">
        <v>0</v>
      </c>
      <c r="P254" s="7">
        <f>IF(SUM(H254:K254)=0,"",H254/SUM(H254:K254))</f>
        <v/>
      </c>
      <c r="Q254" s="7">
        <f>IF(SUM(H254:K254)=0,"",I254/SUM(H254:K254))</f>
        <v/>
      </c>
      <c r="R254" s="7">
        <f>IF(SUM(H254:K254)=0,"",J254/SUM(H254:K254))</f>
        <v/>
      </c>
      <c r="S254" s="7">
        <f>IF(SUM(H254:K254)=0,"",K254/SUM(H254:K254))</f>
        <v/>
      </c>
      <c r="T254" s="7">
        <f>IF(SUM(L254:O254)=0,"",L254/SUM(L254:O254))</f>
        <v/>
      </c>
      <c r="U254" s="7">
        <f>IF(SUM(L254:O254)=0,"",M254/SUM(L254:O254))</f>
        <v/>
      </c>
      <c r="V254" s="7">
        <f>IF(SUM(L254:O254)=0,"",N254/SUM(L254:O254))</f>
        <v/>
      </c>
      <c r="W254" s="7">
        <f>IF(SUM(L254:O254)=0,"",O254/SUM(L254:O254))</f>
        <v/>
      </c>
    </row>
    <row r="255">
      <c r="A255" t="n">
        <v>293</v>
      </c>
      <c r="B255" t="inlineStr">
        <is>
          <t>[individual_tag], Chair, Chief Investment Officer, Segall, Bryant &amp;amp; Hamill</t>
        </is>
      </c>
      <c r="C255" t="n">
        <v>1</v>
      </c>
      <c r="D255" t="n">
        <v>1</v>
      </c>
      <c r="E255" t="n">
        <v>0</v>
      </c>
      <c r="F255" t="n">
        <v>0</v>
      </c>
      <c r="G255" t="b">
        <v>1</v>
      </c>
      <c r="H255" t="n">
        <v>0</v>
      </c>
      <c r="I255" t="n">
        <v>0</v>
      </c>
      <c r="J255" t="n">
        <v>2</v>
      </c>
      <c r="K255" t="n">
        <v>0</v>
      </c>
      <c r="L255" t="n">
        <v>2</v>
      </c>
      <c r="M255" t="n">
        <v>0</v>
      </c>
      <c r="N255" t="n">
        <v>1</v>
      </c>
      <c r="O255" t="n">
        <v>0</v>
      </c>
      <c r="P255" s="7">
        <f>IF(SUM(H255:K255)=0,"",H255/SUM(H255:K255))</f>
        <v/>
      </c>
      <c r="Q255" s="7">
        <f>IF(SUM(H255:K255)=0,"",I255/SUM(H255:K255))</f>
        <v/>
      </c>
      <c r="R255" s="7">
        <f>IF(SUM(H255:K255)=0,"",J255/SUM(H255:K255))</f>
        <v/>
      </c>
      <c r="S255" s="7">
        <f>IF(SUM(H255:K255)=0,"",K255/SUM(H255:K255))</f>
        <v/>
      </c>
      <c r="T255" s="7">
        <f>IF(SUM(L255:O255)=0,"",L255/SUM(L255:O255))</f>
        <v/>
      </c>
      <c r="U255" s="7">
        <f>IF(SUM(L255:O255)=0,"",M255/SUM(L255:O255))</f>
        <v/>
      </c>
      <c r="V255" s="7">
        <f>IF(SUM(L255:O255)=0,"",N255/SUM(L255:O255))</f>
        <v/>
      </c>
      <c r="W255" s="7">
        <f>IF(SUM(L255:O255)=0,"",O255/SUM(L255:O255))</f>
        <v/>
      </c>
    </row>
    <row r="256">
      <c r="A256" t="n">
        <v>294</v>
      </c>
      <c r="B256" t="inlineStr">
        <is>
          <t>Former [community_foundation_tag] Chair</t>
        </is>
      </c>
      <c r="C256" t="n">
        <v>1</v>
      </c>
      <c r="D256" t="n">
        <v>1</v>
      </c>
      <c r="E256" t="n">
        <v>0</v>
      </c>
      <c r="F256" t="n">
        <v>0</v>
      </c>
      <c r="G256" t="b">
        <v>1</v>
      </c>
      <c r="H256" t="n">
        <v>2</v>
      </c>
      <c r="I256" t="n">
        <v>0</v>
      </c>
      <c r="J256" t="n">
        <v>0</v>
      </c>
      <c r="K256" t="n">
        <v>0</v>
      </c>
      <c r="L256" t="n">
        <v>2</v>
      </c>
      <c r="M256" t="n">
        <v>0</v>
      </c>
      <c r="N256" t="n">
        <v>1</v>
      </c>
      <c r="O256" t="n">
        <v>0</v>
      </c>
      <c r="P256" s="7">
        <f>IF(SUM(H256:K256)=0,"",H256/SUM(H256:K256))</f>
        <v/>
      </c>
      <c r="Q256" s="7">
        <f>IF(SUM(H256:K256)=0,"",I256/SUM(H256:K256))</f>
        <v/>
      </c>
      <c r="R256" s="7">
        <f>IF(SUM(H256:K256)=0,"",J256/SUM(H256:K256))</f>
        <v/>
      </c>
      <c r="S256" s="7">
        <f>IF(SUM(H256:K256)=0,"",K256/SUM(H256:K256))</f>
        <v/>
      </c>
      <c r="T256" s="7">
        <f>IF(SUM(L256:O256)=0,"",L256/SUM(L256:O256))</f>
        <v/>
      </c>
      <c r="U256" s="7">
        <f>IF(SUM(L256:O256)=0,"",M256/SUM(L256:O256))</f>
        <v/>
      </c>
      <c r="V256" s="7">
        <f>IF(SUM(L256:O256)=0,"",N256/SUM(L256:O256))</f>
        <v/>
      </c>
      <c r="W256" s="7">
        <f>IF(SUM(L256:O256)=0,"",O256/SUM(L256:O256))</f>
        <v/>
      </c>
    </row>
    <row r="257">
      <c r="A257" t="n">
        <v>295</v>
      </c>
      <c r="B257" t="inlineStr">
        <is>
          <t>[individual_tag] Community Volunteer Former [community_foundation_tag] Chair</t>
        </is>
      </c>
      <c r="C257" t="n">
        <v>1</v>
      </c>
      <c r="D257" t="n">
        <v>1</v>
      </c>
      <c r="E257" t="n">
        <v>0</v>
      </c>
      <c r="F257" t="n">
        <v>0</v>
      </c>
      <c r="G257" t="b">
        <v>1</v>
      </c>
      <c r="H257" t="n">
        <v>2</v>
      </c>
      <c r="I257" t="n">
        <v>0</v>
      </c>
      <c r="J257" t="n">
        <v>0</v>
      </c>
      <c r="K257" t="n">
        <v>0</v>
      </c>
      <c r="L257" t="n">
        <v>2</v>
      </c>
      <c r="M257" t="n">
        <v>0</v>
      </c>
      <c r="N257" t="n">
        <v>0</v>
      </c>
      <c r="O257" t="n">
        <v>1</v>
      </c>
      <c r="P257" s="7">
        <f>IF(SUM(H257:K257)=0,"",H257/SUM(H257:K257))</f>
        <v/>
      </c>
      <c r="Q257" s="7">
        <f>IF(SUM(H257:K257)=0,"",I257/SUM(H257:K257))</f>
        <v/>
      </c>
      <c r="R257" s="7">
        <f>IF(SUM(H257:K257)=0,"",J257/SUM(H257:K257))</f>
        <v/>
      </c>
      <c r="S257" s="7">
        <f>IF(SUM(H257:K257)=0,"",K257/SUM(H257:K257))</f>
        <v/>
      </c>
      <c r="T257" s="7">
        <f>IF(SUM(L257:O257)=0,"",L257/SUM(L257:O257))</f>
        <v/>
      </c>
      <c r="U257" s="7">
        <f>IF(SUM(L257:O257)=0,"",M257/SUM(L257:O257))</f>
        <v/>
      </c>
      <c r="V257" s="7">
        <f>IF(SUM(L257:O257)=0,"",N257/SUM(L257:O257))</f>
        <v/>
      </c>
      <c r="W257" s="7">
        <f>IF(SUM(L257:O257)=0,"",O257/SUM(L257:O257))</f>
        <v/>
      </c>
    </row>
    <row r="258">
      <c r="A258" t="n">
        <v>296</v>
      </c>
      <c r="B258" t="inlineStr">
        <is>
          <t>[individual_tag] Financial Advisor, Private Wealth Management, UBS</t>
        </is>
      </c>
      <c r="C258" t="n">
        <v>1</v>
      </c>
      <c r="D258" t="n">
        <v>1</v>
      </c>
      <c r="E258" t="n">
        <v>0</v>
      </c>
      <c r="F258" t="n">
        <v>0</v>
      </c>
      <c r="G258" t="b">
        <v>1</v>
      </c>
      <c r="H258" t="n">
        <v>0</v>
      </c>
      <c r="I258" t="n">
        <v>0</v>
      </c>
      <c r="J258" t="n">
        <v>2</v>
      </c>
      <c r="K258" t="n">
        <v>0</v>
      </c>
      <c r="L258" t="n">
        <v>2</v>
      </c>
      <c r="M258" t="n">
        <v>1</v>
      </c>
      <c r="N258" t="n">
        <v>0</v>
      </c>
      <c r="O258" t="n">
        <v>0</v>
      </c>
      <c r="P258" s="7">
        <f>IF(SUM(H258:K258)=0,"",H258/SUM(H258:K258))</f>
        <v/>
      </c>
      <c r="Q258" s="7">
        <f>IF(SUM(H258:K258)=0,"",I258/SUM(H258:K258))</f>
        <v/>
      </c>
      <c r="R258" s="7">
        <f>IF(SUM(H258:K258)=0,"",J258/SUM(H258:K258))</f>
        <v/>
      </c>
      <c r="S258" s="7">
        <f>IF(SUM(H258:K258)=0,"",K258/SUM(H258:K258))</f>
        <v/>
      </c>
      <c r="T258" s="7">
        <f>IF(SUM(L258:O258)=0,"",L258/SUM(L258:O258))</f>
        <v/>
      </c>
      <c r="U258" s="7">
        <f>IF(SUM(L258:O258)=0,"",M258/SUM(L258:O258))</f>
        <v/>
      </c>
      <c r="V258" s="7">
        <f>IF(SUM(L258:O258)=0,"",N258/SUM(L258:O258))</f>
        <v/>
      </c>
      <c r="W258" s="7">
        <f>IF(SUM(L258:O258)=0,"",O258/SUM(L258:O258))</f>
        <v/>
      </c>
    </row>
    <row r="259">
      <c r="A259" t="n">
        <v>297</v>
      </c>
      <c r="B259" t="inlineStr">
        <is>
          <t>Former [community_foundation_tag] Treasurer</t>
        </is>
      </c>
      <c r="C259" t="n">
        <v>1</v>
      </c>
      <c r="D259" t="n">
        <v>1</v>
      </c>
      <c r="E259" t="n">
        <v>0</v>
      </c>
      <c r="F259" t="n">
        <v>0</v>
      </c>
      <c r="G259" t="b">
        <v>1</v>
      </c>
      <c r="H259" t="n">
        <v>2</v>
      </c>
      <c r="I259" t="n">
        <v>0</v>
      </c>
      <c r="J259" t="n">
        <v>0</v>
      </c>
      <c r="K259" t="n">
        <v>0</v>
      </c>
      <c r="L259" t="n">
        <v>2</v>
      </c>
      <c r="M259" t="n">
        <v>0</v>
      </c>
      <c r="N259" t="n">
        <v>1</v>
      </c>
      <c r="O259" t="n">
        <v>0</v>
      </c>
      <c r="P259" s="7">
        <f>IF(SUM(H259:K259)=0,"",H259/SUM(H259:K259))</f>
        <v/>
      </c>
      <c r="Q259" s="7">
        <f>IF(SUM(H259:K259)=0,"",I259/SUM(H259:K259))</f>
        <v/>
      </c>
      <c r="R259" s="7">
        <f>IF(SUM(H259:K259)=0,"",J259/SUM(H259:K259))</f>
        <v/>
      </c>
      <c r="S259" s="7">
        <f>IF(SUM(H259:K259)=0,"",K259/SUM(H259:K259))</f>
        <v/>
      </c>
      <c r="T259" s="7">
        <f>IF(SUM(L259:O259)=0,"",L259/SUM(L259:O259))</f>
        <v/>
      </c>
      <c r="U259" s="7">
        <f>IF(SUM(L259:O259)=0,"",M259/SUM(L259:O259))</f>
        <v/>
      </c>
      <c r="V259" s="7">
        <f>IF(SUM(L259:O259)=0,"",N259/SUM(L259:O259))</f>
        <v/>
      </c>
      <c r="W259" s="7">
        <f>IF(SUM(L259:O259)=0,"",O259/SUM(L259:O259))</f>
        <v/>
      </c>
    </row>
    <row r="260">
      <c r="A260" t="n">
        <v>299</v>
      </c>
      <c r="B260" t="inlineStr">
        <is>
          <t>Partner, Jenner &amp;amp; Block, LLP</t>
        </is>
      </c>
      <c r="C260" t="n">
        <v>1</v>
      </c>
      <c r="D260" t="n">
        <v>1</v>
      </c>
      <c r="E260" t="n">
        <v>0</v>
      </c>
      <c r="F260" t="n">
        <v>0</v>
      </c>
      <c r="G260" t="b">
        <v>1</v>
      </c>
      <c r="H260" t="n">
        <v>0</v>
      </c>
      <c r="I260" t="n">
        <v>0</v>
      </c>
      <c r="J260" t="n">
        <v>2</v>
      </c>
      <c r="K260" t="n">
        <v>0</v>
      </c>
      <c r="L260" t="n">
        <v>1</v>
      </c>
      <c r="M260" t="n">
        <v>0</v>
      </c>
      <c r="N260" t="n">
        <v>2</v>
      </c>
      <c r="O260" t="n">
        <v>0</v>
      </c>
      <c r="P260" s="7">
        <f>IF(SUM(H260:K260)=0,"",H260/SUM(H260:K260))</f>
        <v/>
      </c>
      <c r="Q260" s="7">
        <f>IF(SUM(H260:K260)=0,"",I260/SUM(H260:K260))</f>
        <v/>
      </c>
      <c r="R260" s="7">
        <f>IF(SUM(H260:K260)=0,"",J260/SUM(H260:K260))</f>
        <v/>
      </c>
      <c r="S260" s="7">
        <f>IF(SUM(H260:K260)=0,"",K260/SUM(H260:K260))</f>
        <v/>
      </c>
      <c r="T260" s="7">
        <f>IF(SUM(L260:O260)=0,"",L260/SUM(L260:O260))</f>
        <v/>
      </c>
      <c r="U260" s="7">
        <f>IF(SUM(L260:O260)=0,"",M260/SUM(L260:O260))</f>
        <v/>
      </c>
      <c r="V260" s="7">
        <f>IF(SUM(L260:O260)=0,"",N260/SUM(L260:O260))</f>
        <v/>
      </c>
      <c r="W260" s="7">
        <f>IF(SUM(L260:O260)=0,"",O260/SUM(L260:O260))</f>
        <v/>
      </c>
    </row>
    <row r="261">
      <c r="A261" t="n">
        <v>300</v>
      </c>
      <c r="B261" t="inlineStr">
        <is>
          <t>Former [community_foundation_tag] Chair</t>
        </is>
      </c>
      <c r="C261" t="n">
        <v>1</v>
      </c>
      <c r="D261" t="n">
        <v>1</v>
      </c>
      <c r="E261" t="n">
        <v>0</v>
      </c>
      <c r="F261" t="n">
        <v>0</v>
      </c>
      <c r="G261" t="b">
        <v>1</v>
      </c>
      <c r="H261" t="n">
        <v>2</v>
      </c>
      <c r="I261" t="n">
        <v>0</v>
      </c>
      <c r="J261" t="n">
        <v>0</v>
      </c>
      <c r="K261" t="n">
        <v>0</v>
      </c>
      <c r="L261" t="n">
        <v>2</v>
      </c>
      <c r="M261" t="n">
        <v>0</v>
      </c>
      <c r="N261" t="n">
        <v>1</v>
      </c>
      <c r="O261" t="n">
        <v>0</v>
      </c>
      <c r="P261" s="7">
        <f>IF(SUM(H261:K261)=0,"",H261/SUM(H261:K261))</f>
        <v/>
      </c>
      <c r="Q261" s="7">
        <f>IF(SUM(H261:K261)=0,"",I261/SUM(H261:K261))</f>
        <v/>
      </c>
      <c r="R261" s="7">
        <f>IF(SUM(H261:K261)=0,"",J261/SUM(H261:K261))</f>
        <v/>
      </c>
      <c r="S261" s="7">
        <f>IF(SUM(H261:K261)=0,"",K261/SUM(H261:K261))</f>
        <v/>
      </c>
      <c r="T261" s="7">
        <f>IF(SUM(L261:O261)=0,"",L261/SUM(L261:O261))</f>
        <v/>
      </c>
      <c r="U261" s="7">
        <f>IF(SUM(L261:O261)=0,"",M261/SUM(L261:O261))</f>
        <v/>
      </c>
      <c r="V261" s="7">
        <f>IF(SUM(L261:O261)=0,"",N261/SUM(L261:O261))</f>
        <v/>
      </c>
      <c r="W261" s="7">
        <f>IF(SUM(L261:O261)=0,"",O261/SUM(L261:O261))</f>
        <v/>
      </c>
    </row>
    <row r="262">
      <c r="A262" t="n">
        <v>302</v>
      </c>
      <c r="B262" t="inlineStr">
        <is>
          <t>Former President and CEO,</t>
        </is>
      </c>
      <c r="C262" t="n">
        <v>1</v>
      </c>
      <c r="D262" t="n">
        <v>1</v>
      </c>
      <c r="E262" t="n">
        <v>0</v>
      </c>
      <c r="F262" t="n">
        <v>0</v>
      </c>
      <c r="G262" t="b">
        <v>1</v>
      </c>
      <c r="H262" t="n">
        <v>2</v>
      </c>
      <c r="I262" t="n">
        <v>0</v>
      </c>
      <c r="J262" t="n">
        <v>0</v>
      </c>
      <c r="K262" t="n">
        <v>0</v>
      </c>
      <c r="L262" t="n">
        <v>2</v>
      </c>
      <c r="M262" t="n">
        <v>0</v>
      </c>
      <c r="N262" t="n">
        <v>1</v>
      </c>
      <c r="O262" t="n">
        <v>0</v>
      </c>
      <c r="P262" s="7">
        <f>IF(SUM(H262:K262)=0,"",H262/SUM(H262:K262))</f>
        <v/>
      </c>
      <c r="Q262" s="7">
        <f>IF(SUM(H262:K262)=0,"",I262/SUM(H262:K262))</f>
        <v/>
      </c>
      <c r="R262" s="7">
        <f>IF(SUM(H262:K262)=0,"",J262/SUM(H262:K262))</f>
        <v/>
      </c>
      <c r="S262" s="7">
        <f>IF(SUM(H262:K262)=0,"",K262/SUM(H262:K262))</f>
        <v/>
      </c>
      <c r="T262" s="7">
        <f>IF(SUM(L262:O262)=0,"",L262/SUM(L262:O262))</f>
        <v/>
      </c>
      <c r="U262" s="7">
        <f>IF(SUM(L262:O262)=0,"",M262/SUM(L262:O262))</f>
        <v/>
      </c>
      <c r="V262" s="7">
        <f>IF(SUM(L262:O262)=0,"",N262/SUM(L262:O262))</f>
        <v/>
      </c>
      <c r="W262" s="7">
        <f>IF(SUM(L262:O262)=0,"",O262/SUM(L262:O262))</f>
        <v/>
      </c>
    </row>
    <row r="263">
      <c r="A263" t="n">
        <v>303</v>
      </c>
      <c r="B263" t="inlineStr">
        <is>
          <t>Federal Home Loan Bank of Chicago</t>
        </is>
      </c>
      <c r="C263" t="n">
        <v>1</v>
      </c>
      <c r="D263" t="n">
        <v>1</v>
      </c>
      <c r="E263" t="n">
        <v>0</v>
      </c>
      <c r="F263" t="n">
        <v>0</v>
      </c>
      <c r="G263" t="b">
        <v>1</v>
      </c>
      <c r="H263" t="n">
        <v>0</v>
      </c>
      <c r="I263" t="n">
        <v>0</v>
      </c>
      <c r="J263" t="n">
        <v>2</v>
      </c>
      <c r="K263" t="n">
        <v>0</v>
      </c>
      <c r="L263" t="n">
        <v>2</v>
      </c>
      <c r="M263" t="n">
        <v>0</v>
      </c>
      <c r="N263" t="n">
        <v>1</v>
      </c>
      <c r="O263" t="n">
        <v>0</v>
      </c>
      <c r="P263" s="7">
        <f>IF(SUM(H263:K263)=0,"",H263/SUM(H263:K263))</f>
        <v/>
      </c>
      <c r="Q263" s="7">
        <f>IF(SUM(H263:K263)=0,"",I263/SUM(H263:K263))</f>
        <v/>
      </c>
      <c r="R263" s="7">
        <f>IF(SUM(H263:K263)=0,"",J263/SUM(H263:K263))</f>
        <v/>
      </c>
      <c r="S263" s="7">
        <f>IF(SUM(H263:K263)=0,"",K263/SUM(H263:K263))</f>
        <v/>
      </c>
      <c r="T263" s="7">
        <f>IF(SUM(L263:O263)=0,"",L263/SUM(L263:O263))</f>
        <v/>
      </c>
      <c r="U263" s="7">
        <f>IF(SUM(L263:O263)=0,"",M263/SUM(L263:O263))</f>
        <v/>
      </c>
      <c r="V263" s="7">
        <f>IF(SUM(L263:O263)=0,"",N263/SUM(L263:O263))</f>
        <v/>
      </c>
      <c r="W263" s="7">
        <f>IF(SUM(L263:O263)=0,"",O263/SUM(L263:O263))</f>
        <v/>
      </c>
    </row>
    <row r="264">
      <c r="A264" t="n">
        <v>305</v>
      </c>
      <c r="B264" t="inlineStr">
        <is>
          <t>President, Chesley, Taft &amp;amp; Associates, LLC</t>
        </is>
      </c>
      <c r="C264" t="n">
        <v>1</v>
      </c>
      <c r="D264" t="n">
        <v>1</v>
      </c>
      <c r="E264" t="n">
        <v>0</v>
      </c>
      <c r="F264" t="n">
        <v>0</v>
      </c>
      <c r="G264" t="b">
        <v>1</v>
      </c>
      <c r="H264" t="n">
        <v>0</v>
      </c>
      <c r="I264" t="n">
        <v>0</v>
      </c>
      <c r="J264" t="n">
        <v>2</v>
      </c>
      <c r="K264" t="n">
        <v>0</v>
      </c>
      <c r="L264" t="n">
        <v>2</v>
      </c>
      <c r="M264" t="n">
        <v>0</v>
      </c>
      <c r="N264" t="n">
        <v>1</v>
      </c>
      <c r="O264" t="n">
        <v>0</v>
      </c>
      <c r="P264" s="7">
        <f>IF(SUM(H264:K264)=0,"",H264/SUM(H264:K264))</f>
        <v/>
      </c>
      <c r="Q264" s="7">
        <f>IF(SUM(H264:K264)=0,"",I264/SUM(H264:K264))</f>
        <v/>
      </c>
      <c r="R264" s="7">
        <f>IF(SUM(H264:K264)=0,"",J264/SUM(H264:K264))</f>
        <v/>
      </c>
      <c r="S264" s="7">
        <f>IF(SUM(H264:K264)=0,"",K264/SUM(H264:K264))</f>
        <v/>
      </c>
      <c r="T264" s="7">
        <f>IF(SUM(L264:O264)=0,"",L264/SUM(L264:O264))</f>
        <v/>
      </c>
      <c r="U264" s="7">
        <f>IF(SUM(L264:O264)=0,"",M264/SUM(L264:O264))</f>
        <v/>
      </c>
      <c r="V264" s="7">
        <f>IF(SUM(L264:O264)=0,"",N264/SUM(L264:O264))</f>
        <v/>
      </c>
      <c r="W264" s="7">
        <f>IF(SUM(L264:O264)=0,"",O264/SUM(L264:O264))</f>
        <v/>
      </c>
    </row>
    <row r="265">
      <c r="A265" t="n">
        <v>307</v>
      </c>
      <c r="B265" t="inlineStr">
        <is>
          <t>Former Global Head - Equity Trading, UBS Global Asset Management</t>
        </is>
      </c>
      <c r="C265" t="n">
        <v>1</v>
      </c>
      <c r="D265" t="n">
        <v>1</v>
      </c>
      <c r="E265" t="n">
        <v>0</v>
      </c>
      <c r="F265" t="n">
        <v>0</v>
      </c>
      <c r="G265" t="b">
        <v>1</v>
      </c>
      <c r="H265" t="n">
        <v>0</v>
      </c>
      <c r="I265" t="n">
        <v>0</v>
      </c>
      <c r="J265" t="n">
        <v>2</v>
      </c>
      <c r="K265" t="n">
        <v>0</v>
      </c>
      <c r="L265" t="n">
        <v>2</v>
      </c>
      <c r="M265" t="n">
        <v>0</v>
      </c>
      <c r="N265" t="n">
        <v>1</v>
      </c>
      <c r="O265" t="n">
        <v>0</v>
      </c>
      <c r="P265" s="7">
        <f>IF(SUM(H265:K265)=0,"",H265/SUM(H265:K265))</f>
        <v/>
      </c>
      <c r="Q265" s="7">
        <f>IF(SUM(H265:K265)=0,"",I265/SUM(H265:K265))</f>
        <v/>
      </c>
      <c r="R265" s="7">
        <f>IF(SUM(H265:K265)=0,"",J265/SUM(H265:K265))</f>
        <v/>
      </c>
      <c r="S265" s="7">
        <f>IF(SUM(H265:K265)=0,"",K265/SUM(H265:K265))</f>
        <v/>
      </c>
      <c r="T265" s="7">
        <f>IF(SUM(L265:O265)=0,"",L265/SUM(L265:O265))</f>
        <v/>
      </c>
      <c r="U265" s="7">
        <f>IF(SUM(L265:O265)=0,"",M265/SUM(L265:O265))</f>
        <v/>
      </c>
      <c r="V265" s="7">
        <f>IF(SUM(L265:O265)=0,"",N265/SUM(L265:O265))</f>
        <v/>
      </c>
      <c r="W265" s="7">
        <f>IF(SUM(L265:O265)=0,"",O265/SUM(L265:O265))</f>
        <v/>
      </c>
    </row>
    <row r="266">
      <c r="A266" t="n">
        <v>308</v>
      </c>
      <c r="B266" t="inlineStr">
        <is>
          <t>[individual_tag] Chief Investment Officer</t>
        </is>
      </c>
      <c r="C266" t="n">
        <v>1</v>
      </c>
      <c r="D266" t="n">
        <v>1</v>
      </c>
      <c r="E266" t="n">
        <v>0</v>
      </c>
      <c r="F266" t="n">
        <v>0</v>
      </c>
      <c r="G266" t="b">
        <v>1</v>
      </c>
      <c r="H266" t="n">
        <v>0</v>
      </c>
      <c r="I266" t="n">
        <v>0</v>
      </c>
      <c r="J266" t="n">
        <v>2</v>
      </c>
      <c r="K266" t="n">
        <v>0</v>
      </c>
      <c r="L266" t="n">
        <v>2</v>
      </c>
      <c r="M266" t="n">
        <v>0</v>
      </c>
      <c r="N266" t="n">
        <v>1</v>
      </c>
      <c r="O266" t="n">
        <v>0</v>
      </c>
      <c r="P266" s="7">
        <f>IF(SUM(H266:K266)=0,"",H266/SUM(H266:K266))</f>
        <v/>
      </c>
      <c r="Q266" s="7">
        <f>IF(SUM(H266:K266)=0,"",I266/SUM(H266:K266))</f>
        <v/>
      </c>
      <c r="R266" s="7">
        <f>IF(SUM(H266:K266)=0,"",J266/SUM(H266:K266))</f>
        <v/>
      </c>
      <c r="S266" s="7">
        <f>IF(SUM(H266:K266)=0,"",K266/SUM(H266:K266))</f>
        <v/>
      </c>
      <c r="T266" s="7">
        <f>IF(SUM(L266:O266)=0,"",L266/SUM(L266:O266))</f>
        <v/>
      </c>
      <c r="U266" s="7">
        <f>IF(SUM(L266:O266)=0,"",M266/SUM(L266:O266))</f>
        <v/>
      </c>
      <c r="V266" s="7">
        <f>IF(SUM(L266:O266)=0,"",N266/SUM(L266:O266))</f>
        <v/>
      </c>
      <c r="W266" s="7">
        <f>IF(SUM(L266:O266)=0,"",O266/SUM(L266:O266))</f>
        <v/>
      </c>
    </row>
    <row r="267">
      <c r="A267" t="n">
        <v>309</v>
      </c>
      <c r="B267" t="inlineStr">
        <is>
          <t>Centaur Capital Partners</t>
        </is>
      </c>
      <c r="C267" t="n">
        <v>1</v>
      </c>
      <c r="D267" t="n">
        <v>1</v>
      </c>
      <c r="E267" t="n">
        <v>0</v>
      </c>
      <c r="F267" t="n">
        <v>0</v>
      </c>
      <c r="G267" t="b">
        <v>1</v>
      </c>
      <c r="H267" t="n">
        <v>0</v>
      </c>
      <c r="I267" t="n">
        <v>0</v>
      </c>
      <c r="J267" t="n">
        <v>2</v>
      </c>
      <c r="K267" t="n">
        <v>0</v>
      </c>
      <c r="L267" t="n">
        <v>2</v>
      </c>
      <c r="M267" t="n">
        <v>0</v>
      </c>
      <c r="N267" t="n">
        <v>1</v>
      </c>
      <c r="O267" t="n">
        <v>0</v>
      </c>
      <c r="P267" s="7">
        <f>IF(SUM(H267:K267)=0,"",H267/SUM(H267:K267))</f>
        <v/>
      </c>
      <c r="Q267" s="7">
        <f>IF(SUM(H267:K267)=0,"",I267/SUM(H267:K267))</f>
        <v/>
      </c>
      <c r="R267" s="7">
        <f>IF(SUM(H267:K267)=0,"",J267/SUM(H267:K267))</f>
        <v/>
      </c>
      <c r="S267" s="7">
        <f>IF(SUM(H267:K267)=0,"",K267/SUM(H267:K267))</f>
        <v/>
      </c>
      <c r="T267" s="7">
        <f>IF(SUM(L267:O267)=0,"",L267/SUM(L267:O267))</f>
        <v/>
      </c>
      <c r="U267" s="7">
        <f>IF(SUM(L267:O267)=0,"",M267/SUM(L267:O267))</f>
        <v/>
      </c>
      <c r="V267" s="7">
        <f>IF(SUM(L267:O267)=0,"",N267/SUM(L267:O267))</f>
        <v/>
      </c>
      <c r="W267" s="7">
        <f>IF(SUM(L267:O267)=0,"",O267/SUM(L267:O267))</f>
        <v/>
      </c>
    </row>
    <row r="268">
      <c r="A268" t="n">
        <v>310</v>
      </c>
      <c r="B268" t="inlineStr">
        <is>
          <t>Former [community_foundation_tag] Treasurer</t>
        </is>
      </c>
      <c r="C268" t="n">
        <v>1</v>
      </c>
      <c r="D268" t="n">
        <v>1</v>
      </c>
      <c r="E268" t="n">
        <v>0</v>
      </c>
      <c r="F268" t="n">
        <v>0</v>
      </c>
      <c r="G268" t="b">
        <v>1</v>
      </c>
      <c r="H268" t="n">
        <v>2</v>
      </c>
      <c r="I268" t="n">
        <v>0</v>
      </c>
      <c r="J268" t="n">
        <v>0</v>
      </c>
      <c r="K268" t="n">
        <v>0</v>
      </c>
      <c r="L268" t="n">
        <v>2</v>
      </c>
      <c r="M268" t="n">
        <v>0</v>
      </c>
      <c r="N268" t="n">
        <v>1</v>
      </c>
      <c r="O268" t="n">
        <v>0</v>
      </c>
      <c r="P268" s="7">
        <f>IF(SUM(H268:K268)=0,"",H268/SUM(H268:K268))</f>
        <v/>
      </c>
      <c r="Q268" s="7">
        <f>IF(SUM(H268:K268)=0,"",I268/SUM(H268:K268))</f>
        <v/>
      </c>
      <c r="R268" s="7">
        <f>IF(SUM(H268:K268)=0,"",J268/SUM(H268:K268))</f>
        <v/>
      </c>
      <c r="S268" s="7">
        <f>IF(SUM(H268:K268)=0,"",K268/SUM(H268:K268))</f>
        <v/>
      </c>
      <c r="T268" s="7">
        <f>IF(SUM(L268:O268)=0,"",L268/SUM(L268:O268))</f>
        <v/>
      </c>
      <c r="U268" s="7">
        <f>IF(SUM(L268:O268)=0,"",M268/SUM(L268:O268))</f>
        <v/>
      </c>
      <c r="V268" s="7">
        <f>IF(SUM(L268:O268)=0,"",N268/SUM(L268:O268))</f>
        <v/>
      </c>
      <c r="W268" s="7">
        <f>IF(SUM(L268:O268)=0,"",O268/SUM(L268:O268))</f>
        <v/>
      </c>
    </row>
    <row r="269">
      <c r="A269" t="n">
        <v>312</v>
      </c>
      <c r="B269" t="inlineStr">
        <is>
          <t>Partner, Braydon Partner</t>
        </is>
      </c>
      <c r="C269" t="n">
        <v>1</v>
      </c>
      <c r="D269" t="n">
        <v>1</v>
      </c>
      <c r="E269" t="n">
        <v>0</v>
      </c>
      <c r="F269" t="n">
        <v>0</v>
      </c>
      <c r="G269" t="b">
        <v>1</v>
      </c>
      <c r="H269" t="n">
        <v>0</v>
      </c>
      <c r="I269" t="n">
        <v>0</v>
      </c>
      <c r="J269" t="n">
        <v>2</v>
      </c>
      <c r="K269" t="n">
        <v>0</v>
      </c>
      <c r="L269" t="n">
        <v>1</v>
      </c>
      <c r="M269" t="n">
        <v>0</v>
      </c>
      <c r="N269" t="n">
        <v>2</v>
      </c>
      <c r="O269" t="n">
        <v>0</v>
      </c>
      <c r="P269" s="7">
        <f>IF(SUM(H269:K269)=0,"",H269/SUM(H269:K269))</f>
        <v/>
      </c>
      <c r="Q269" s="7">
        <f>IF(SUM(H269:K269)=0,"",I269/SUM(H269:K269))</f>
        <v/>
      </c>
      <c r="R269" s="7">
        <f>IF(SUM(H269:K269)=0,"",J269/SUM(H269:K269))</f>
        <v/>
      </c>
      <c r="S269" s="7">
        <f>IF(SUM(H269:K269)=0,"",K269/SUM(H269:K269))</f>
        <v/>
      </c>
      <c r="T269" s="7">
        <f>IF(SUM(L269:O269)=0,"",L269/SUM(L269:O269))</f>
        <v/>
      </c>
      <c r="U269" s="7">
        <f>IF(SUM(L269:O269)=0,"",M269/SUM(L269:O269))</f>
        <v/>
      </c>
      <c r="V269" s="7">
        <f>IF(SUM(L269:O269)=0,"",N269/SUM(L269:O269))</f>
        <v/>
      </c>
      <c r="W269" s="7">
        <f>IF(SUM(L269:O269)=0,"",O269/SUM(L269:O269))</f>
        <v/>
      </c>
    </row>
    <row r="270">
      <c r="A270" t="n">
        <v>313</v>
      </c>
      <c r="B270" t="inlineStr">
        <is>
          <t>Former [community_foundation_tag] Treasurer</t>
        </is>
      </c>
      <c r="C270" t="n">
        <v>1</v>
      </c>
      <c r="D270" t="n">
        <v>1</v>
      </c>
      <c r="E270" t="n">
        <v>0</v>
      </c>
      <c r="F270" t="n">
        <v>0</v>
      </c>
      <c r="G270" t="b">
        <v>1</v>
      </c>
      <c r="H270" t="n">
        <v>2</v>
      </c>
      <c r="I270" t="n">
        <v>0</v>
      </c>
      <c r="J270" t="n">
        <v>0</v>
      </c>
      <c r="K270" t="n">
        <v>0</v>
      </c>
      <c r="L270" t="n">
        <v>2</v>
      </c>
      <c r="M270" t="n">
        <v>0</v>
      </c>
      <c r="N270" t="n">
        <v>1</v>
      </c>
      <c r="O270" t="n">
        <v>0</v>
      </c>
      <c r="P270" s="7">
        <f>IF(SUM(H270:K270)=0,"",H270/SUM(H270:K270))</f>
        <v/>
      </c>
      <c r="Q270" s="7">
        <f>IF(SUM(H270:K270)=0,"",I270/SUM(H270:K270))</f>
        <v/>
      </c>
      <c r="R270" s="7">
        <f>IF(SUM(H270:K270)=0,"",J270/SUM(H270:K270))</f>
        <v/>
      </c>
      <c r="S270" s="7">
        <f>IF(SUM(H270:K270)=0,"",K270/SUM(H270:K270))</f>
        <v/>
      </c>
      <c r="T270" s="7">
        <f>IF(SUM(L270:O270)=0,"",L270/SUM(L270:O270))</f>
        <v/>
      </c>
      <c r="U270" s="7">
        <f>IF(SUM(L270:O270)=0,"",M270/SUM(L270:O270))</f>
        <v/>
      </c>
      <c r="V270" s="7">
        <f>IF(SUM(L270:O270)=0,"",N270/SUM(L270:O270))</f>
        <v/>
      </c>
      <c r="W270" s="7">
        <f>IF(SUM(L270:O270)=0,"",O270/SUM(L270:O270))</f>
        <v/>
      </c>
    </row>
    <row r="271">
      <c r="A271" t="n">
        <v>315</v>
      </c>
      <c r="B271" t="inlineStr">
        <is>
          <t>Wealth Advisor, William Blair</t>
        </is>
      </c>
      <c r="C271" t="n">
        <v>1</v>
      </c>
      <c r="D271" t="n">
        <v>1</v>
      </c>
      <c r="E271" t="n">
        <v>0</v>
      </c>
      <c r="F271" t="n">
        <v>0</v>
      </c>
      <c r="G271" t="b">
        <v>1</v>
      </c>
      <c r="H271" t="n">
        <v>0</v>
      </c>
      <c r="I271" t="n">
        <v>0</v>
      </c>
      <c r="J271" t="n">
        <v>2</v>
      </c>
      <c r="K271" t="n">
        <v>0</v>
      </c>
      <c r="L271" t="n">
        <v>2</v>
      </c>
      <c r="M271" t="n">
        <v>1</v>
      </c>
      <c r="N271" t="n">
        <v>0</v>
      </c>
      <c r="O271" t="n">
        <v>0</v>
      </c>
      <c r="P271" s="7">
        <f>IF(SUM(H271:K271)=0,"",H271/SUM(H271:K271))</f>
        <v/>
      </c>
      <c r="Q271" s="7">
        <f>IF(SUM(H271:K271)=0,"",I271/SUM(H271:K271))</f>
        <v/>
      </c>
      <c r="R271" s="7">
        <f>IF(SUM(H271:K271)=0,"",J271/SUM(H271:K271))</f>
        <v/>
      </c>
      <c r="S271" s="7">
        <f>IF(SUM(H271:K271)=0,"",K271/SUM(H271:K271))</f>
        <v/>
      </c>
      <c r="T271" s="7">
        <f>IF(SUM(L271:O271)=0,"",L271/SUM(L271:O271))</f>
        <v/>
      </c>
      <c r="U271" s="7">
        <f>IF(SUM(L271:O271)=0,"",M271/SUM(L271:O271))</f>
        <v/>
      </c>
      <c r="V271" s="7">
        <f>IF(SUM(L271:O271)=0,"",N271/SUM(L271:O271))</f>
        <v/>
      </c>
      <c r="W271" s="7">
        <f>IF(SUM(L271:O271)=0,"",O271/SUM(L271:O271))</f>
        <v/>
      </c>
    </row>
    <row r="272">
      <c r="A272" t="n">
        <v>317</v>
      </c>
      <c r="B272" t="inlineStr">
        <is>
          <t>Board Member</t>
        </is>
      </c>
      <c r="C272" t="n">
        <v>0</v>
      </c>
      <c r="D272" t="n">
        <v>1</v>
      </c>
      <c r="E272" t="n">
        <v>0</v>
      </c>
      <c r="F272" t="n">
        <v>0</v>
      </c>
      <c r="G272" t="b">
        <v>0</v>
      </c>
      <c r="H272" t="n">
        <v>0</v>
      </c>
      <c r="I272" t="n">
        <v>0</v>
      </c>
      <c r="J272" t="n">
        <v>0</v>
      </c>
      <c r="K272" t="n">
        <v>0</v>
      </c>
      <c r="L272" t="n">
        <v>2</v>
      </c>
      <c r="M272" t="n">
        <v>0</v>
      </c>
      <c r="N272" t="n">
        <v>1</v>
      </c>
      <c r="O272" t="n">
        <v>0</v>
      </c>
      <c r="P272" s="7">
        <f>IF(SUM(H272:K272)=0,"",H272/SUM(H272:K272))</f>
        <v/>
      </c>
      <c r="Q272" s="7">
        <f>IF(SUM(H272:K272)=0,"",I272/SUM(H272:K272))</f>
        <v/>
      </c>
      <c r="R272" s="7">
        <f>IF(SUM(H272:K272)=0,"",J272/SUM(H272:K272))</f>
        <v/>
      </c>
      <c r="S272" s="7">
        <f>IF(SUM(H272:K272)=0,"",K272/SUM(H272:K272))</f>
        <v/>
      </c>
      <c r="T272" s="7">
        <f>IF(SUM(L272:O272)=0,"",L272/SUM(L272:O272))</f>
        <v/>
      </c>
      <c r="U272" s="7">
        <f>IF(SUM(L272:O272)=0,"",M272/SUM(L272:O272))</f>
        <v/>
      </c>
      <c r="V272" s="7">
        <f>IF(SUM(L272:O272)=0,"",N272/SUM(L272:O272))</f>
        <v/>
      </c>
      <c r="W272" s="7">
        <f>IF(SUM(L272:O272)=0,"",O272/SUM(L272:O272))</f>
        <v/>
      </c>
    </row>
    <row r="273">
      <c r="A273" t="n">
        <v>318</v>
      </c>
      <c r="B273" t="inlineStr">
        <is>
          <t>[individual_tag] Community Volunteer</t>
        </is>
      </c>
      <c r="C273" t="n">
        <v>0</v>
      </c>
      <c r="D273" t="n">
        <v>1</v>
      </c>
      <c r="E273" t="n">
        <v>0</v>
      </c>
      <c r="F273" t="n">
        <v>0</v>
      </c>
      <c r="G273" t="b">
        <v>0</v>
      </c>
      <c r="H273" t="n">
        <v>0</v>
      </c>
      <c r="I273" t="n">
        <v>0</v>
      </c>
      <c r="J273" t="n">
        <v>0</v>
      </c>
      <c r="K273" t="n">
        <v>0</v>
      </c>
      <c r="L273" t="n">
        <v>1</v>
      </c>
      <c r="M273" t="n">
        <v>0</v>
      </c>
      <c r="N273" t="n">
        <v>0</v>
      </c>
      <c r="O273" t="n">
        <v>2</v>
      </c>
      <c r="P273" s="7">
        <f>IF(SUM(H273:K273)=0,"",H273/SUM(H273:K273))</f>
        <v/>
      </c>
      <c r="Q273" s="7">
        <f>IF(SUM(H273:K273)=0,"",I273/SUM(H273:K273))</f>
        <v/>
      </c>
      <c r="R273" s="7">
        <f>IF(SUM(H273:K273)=0,"",J273/SUM(H273:K273))</f>
        <v/>
      </c>
      <c r="S273" s="7">
        <f>IF(SUM(H273:K273)=0,"",K273/SUM(H273:K273))</f>
        <v/>
      </c>
      <c r="T273" s="7">
        <f>IF(SUM(L273:O273)=0,"",L273/SUM(L273:O273))</f>
        <v/>
      </c>
      <c r="U273" s="7">
        <f>IF(SUM(L273:O273)=0,"",M273/SUM(L273:O273))</f>
        <v/>
      </c>
      <c r="V273" s="7">
        <f>IF(SUM(L273:O273)=0,"",N273/SUM(L273:O273))</f>
        <v/>
      </c>
      <c r="W273" s="7">
        <f>IF(SUM(L273:O273)=0,"",O273/SUM(L273:O273))</f>
        <v/>
      </c>
    </row>
    <row r="274">
      <c r="A274" t="n">
        <v>322</v>
      </c>
      <c r="B274" t="inlineStr">
        <is>
          <t>Former VP for Financial Operations and Treasurer, Northwestern University</t>
        </is>
      </c>
      <c r="C274" t="n">
        <v>1</v>
      </c>
      <c r="D274" t="n">
        <v>1</v>
      </c>
      <c r="E274" t="n">
        <v>0</v>
      </c>
      <c r="F274" t="n">
        <v>0</v>
      </c>
      <c r="G274" t="b">
        <v>1</v>
      </c>
      <c r="H274" t="n">
        <v>0</v>
      </c>
      <c r="I274" t="n">
        <v>0</v>
      </c>
      <c r="J274" t="n">
        <v>2</v>
      </c>
      <c r="K274" t="n">
        <v>0</v>
      </c>
      <c r="L274" t="n">
        <v>2</v>
      </c>
      <c r="M274" t="n">
        <v>0</v>
      </c>
      <c r="N274" t="n">
        <v>1</v>
      </c>
      <c r="O274" t="n">
        <v>0</v>
      </c>
      <c r="P274" s="7">
        <f>IF(SUM(H274:K274)=0,"",H274/SUM(H274:K274))</f>
        <v/>
      </c>
      <c r="Q274" s="7">
        <f>IF(SUM(H274:K274)=0,"",I274/SUM(H274:K274))</f>
        <v/>
      </c>
      <c r="R274" s="7">
        <f>IF(SUM(H274:K274)=0,"",J274/SUM(H274:K274))</f>
        <v/>
      </c>
      <c r="S274" s="7">
        <f>IF(SUM(H274:K274)=0,"",K274/SUM(H274:K274))</f>
        <v/>
      </c>
      <c r="T274" s="7">
        <f>IF(SUM(L274:O274)=0,"",L274/SUM(L274:O274))</f>
        <v/>
      </c>
      <c r="U274" s="7">
        <f>IF(SUM(L274:O274)=0,"",M274/SUM(L274:O274))</f>
        <v/>
      </c>
      <c r="V274" s="7">
        <f>IF(SUM(L274:O274)=0,"",N274/SUM(L274:O274))</f>
        <v/>
      </c>
      <c r="W274" s="7">
        <f>IF(SUM(L274:O274)=0,"",O274/SUM(L274:O274))</f>
        <v/>
      </c>
    </row>
    <row r="275">
      <c r="A275" t="n">
        <v>323</v>
      </c>
      <c r="B275" t="inlineStr">
        <is>
          <t>Former [community_foundation_tag] Board Member</t>
        </is>
      </c>
      <c r="C275" t="n">
        <v>1</v>
      </c>
      <c r="D275" t="n">
        <v>1</v>
      </c>
      <c r="E275" t="n">
        <v>0</v>
      </c>
      <c r="F275" t="n">
        <v>0</v>
      </c>
      <c r="G275" t="b">
        <v>1</v>
      </c>
      <c r="H275" t="n">
        <v>2</v>
      </c>
      <c r="I275" t="n">
        <v>0</v>
      </c>
      <c r="J275" t="n">
        <v>0</v>
      </c>
      <c r="K275" t="n">
        <v>0</v>
      </c>
      <c r="L275" t="n">
        <v>2</v>
      </c>
      <c r="M275" t="n">
        <v>0</v>
      </c>
      <c r="N275" t="n">
        <v>1</v>
      </c>
      <c r="O275" t="n">
        <v>0</v>
      </c>
      <c r="P275" s="7">
        <f>IF(SUM(H275:K275)=0,"",H275/SUM(H275:K275))</f>
        <v/>
      </c>
      <c r="Q275" s="7">
        <f>IF(SUM(H275:K275)=0,"",I275/SUM(H275:K275))</f>
        <v/>
      </c>
      <c r="R275" s="7">
        <f>IF(SUM(H275:K275)=0,"",J275/SUM(H275:K275))</f>
        <v/>
      </c>
      <c r="S275" s="7">
        <f>IF(SUM(H275:K275)=0,"",K275/SUM(H275:K275))</f>
        <v/>
      </c>
      <c r="T275" s="7">
        <f>IF(SUM(L275:O275)=0,"",L275/SUM(L275:O275))</f>
        <v/>
      </c>
      <c r="U275" s="7">
        <f>IF(SUM(L275:O275)=0,"",M275/SUM(L275:O275))</f>
        <v/>
      </c>
      <c r="V275" s="7">
        <f>IF(SUM(L275:O275)=0,"",N275/SUM(L275:O275))</f>
        <v/>
      </c>
      <c r="W275" s="7">
        <f>IF(SUM(L275:O275)=0,"",O275/SUM(L275:O275))</f>
        <v/>
      </c>
    </row>
    <row r="276">
      <c r="A276" t="n">
        <v>327</v>
      </c>
      <c r="B276" t="inlineStr">
        <is>
          <t>President &amp;amp; CEO</t>
        </is>
      </c>
      <c r="C276" t="n">
        <v>0</v>
      </c>
      <c r="D276" t="n">
        <v>0</v>
      </c>
      <c r="E276" t="n">
        <v>0</v>
      </c>
      <c r="F276" t="n">
        <v>0</v>
      </c>
      <c r="G276" t="b">
        <v>0</v>
      </c>
      <c r="H276" t="n">
        <v>0</v>
      </c>
      <c r="I276" t="n">
        <v>0</v>
      </c>
      <c r="J276" t="n">
        <v>0</v>
      </c>
      <c r="K276" t="n">
        <v>0</v>
      </c>
      <c r="L276" t="n">
        <v>0</v>
      </c>
      <c r="M276" t="n">
        <v>0</v>
      </c>
      <c r="N276" t="n">
        <v>0</v>
      </c>
      <c r="O276" t="n">
        <v>0</v>
      </c>
      <c r="P276" s="7">
        <f>IF(SUM(H276:K276)=0,"",H276/SUM(H276:K276))</f>
        <v/>
      </c>
      <c r="Q276" s="7">
        <f>IF(SUM(H276:K276)=0,"",I276/SUM(H276:K276))</f>
        <v/>
      </c>
      <c r="R276" s="7">
        <f>IF(SUM(H276:K276)=0,"",J276/SUM(H276:K276))</f>
        <v/>
      </c>
      <c r="S276" s="7">
        <f>IF(SUM(H276:K276)=0,"",K276/SUM(H276:K276))</f>
        <v/>
      </c>
      <c r="T276" s="7">
        <f>IF(SUM(L276:O276)=0,"",L276/SUM(L276:O276))</f>
        <v/>
      </c>
      <c r="U276" s="7">
        <f>IF(SUM(L276:O276)=0,"",M276/SUM(L276:O276))</f>
        <v/>
      </c>
      <c r="V276" s="7">
        <f>IF(SUM(L276:O276)=0,"",N276/SUM(L276:O276))</f>
        <v/>
      </c>
      <c r="W276" s="7">
        <f>IF(SUM(L276:O276)=0,"",O276/SUM(L276:O276))</f>
        <v/>
      </c>
    </row>
    <row r="277">
      <c r="A277" t="n">
        <v>329</v>
      </c>
      <c r="B277" t="inlineStr">
        <is>
          <t>(through June 2021)</t>
        </is>
      </c>
      <c r="C277" t="n">
        <v>0</v>
      </c>
      <c r="D277" t="n">
        <v>0</v>
      </c>
      <c r="E277" t="n">
        <v>0</v>
      </c>
      <c r="F277" t="n">
        <v>0</v>
      </c>
      <c r="G277" t="b">
        <v>0</v>
      </c>
      <c r="H277" t="n">
        <v>0</v>
      </c>
      <c r="I277" t="n">
        <v>0</v>
      </c>
      <c r="J277" t="n">
        <v>0</v>
      </c>
      <c r="K277" t="n">
        <v>0</v>
      </c>
      <c r="L277" t="n">
        <v>0</v>
      </c>
      <c r="M277" t="n">
        <v>0</v>
      </c>
      <c r="N277" t="n">
        <v>0</v>
      </c>
      <c r="O277" t="n">
        <v>0</v>
      </c>
      <c r="P277" s="7">
        <f>IF(SUM(H277:K277)=0,"",H277/SUM(H277:K277))</f>
        <v/>
      </c>
      <c r="Q277" s="7">
        <f>IF(SUM(H277:K277)=0,"",I277/SUM(H277:K277))</f>
        <v/>
      </c>
      <c r="R277" s="7">
        <f>IF(SUM(H277:K277)=0,"",J277/SUM(H277:K277))</f>
        <v/>
      </c>
      <c r="S277" s="7">
        <f>IF(SUM(H277:K277)=0,"",K277/SUM(H277:K277))</f>
        <v/>
      </c>
      <c r="T277" s="7">
        <f>IF(SUM(L277:O277)=0,"",L277/SUM(L277:O277))</f>
        <v/>
      </c>
      <c r="U277" s="7">
        <f>IF(SUM(L277:O277)=0,"",M277/SUM(L277:O277))</f>
        <v/>
      </c>
      <c r="V277" s="7">
        <f>IF(SUM(L277:O277)=0,"",N277/SUM(L277:O277))</f>
        <v/>
      </c>
      <c r="W277" s="7">
        <f>IF(SUM(L277:O277)=0,"",O277/SUM(L277:O277))</f>
        <v/>
      </c>
    </row>
    <row r="278">
      <c r="A278" t="n">
        <v>330</v>
      </c>
      <c r="B278" t="inlineStr">
        <is>
          <t>Interim President &amp;amp; CEO</t>
        </is>
      </c>
      <c r="C278" t="n">
        <v>0</v>
      </c>
      <c r="D278" t="n">
        <v>0</v>
      </c>
      <c r="E278" t="n">
        <v>0</v>
      </c>
      <c r="F278" t="n">
        <v>0</v>
      </c>
      <c r="G278" t="b">
        <v>0</v>
      </c>
      <c r="H278" t="n">
        <v>0</v>
      </c>
      <c r="I278" t="n">
        <v>0</v>
      </c>
      <c r="J278" t="n">
        <v>0</v>
      </c>
      <c r="K278" t="n">
        <v>0</v>
      </c>
      <c r="L278" t="n">
        <v>0</v>
      </c>
      <c r="M278" t="n">
        <v>0</v>
      </c>
      <c r="N278" t="n">
        <v>0</v>
      </c>
      <c r="O278" t="n">
        <v>0</v>
      </c>
      <c r="P278" s="7">
        <f>IF(SUM(H278:K278)=0,"",H278/SUM(H278:K278))</f>
        <v/>
      </c>
      <c r="Q278" s="7">
        <f>IF(SUM(H278:K278)=0,"",I278/SUM(H278:K278))</f>
        <v/>
      </c>
      <c r="R278" s="7">
        <f>IF(SUM(H278:K278)=0,"",J278/SUM(H278:K278))</f>
        <v/>
      </c>
      <c r="S278" s="7">
        <f>IF(SUM(H278:K278)=0,"",K278/SUM(H278:K278))</f>
        <v/>
      </c>
      <c r="T278" s="7">
        <f>IF(SUM(L278:O278)=0,"",L278/SUM(L278:O278))</f>
        <v/>
      </c>
      <c r="U278" s="7">
        <f>IF(SUM(L278:O278)=0,"",M278/SUM(L278:O278))</f>
        <v/>
      </c>
      <c r="V278" s="7">
        <f>IF(SUM(L278:O278)=0,"",N278/SUM(L278:O278))</f>
        <v/>
      </c>
      <c r="W278" s="7">
        <f>IF(SUM(L278:O278)=0,"",O278/SUM(L278:O278))</f>
        <v/>
      </c>
    </row>
    <row r="279">
      <c r="A279" t="n">
        <v>332</v>
      </c>
      <c r="B279" t="inlineStr">
        <is>
          <t>Program Officer</t>
        </is>
      </c>
      <c r="C279" t="n">
        <v>0</v>
      </c>
      <c r="D279" t="n">
        <v>0</v>
      </c>
      <c r="E279" t="n">
        <v>0</v>
      </c>
      <c r="F279" t="n">
        <v>0</v>
      </c>
      <c r="G279" t="b">
        <v>0</v>
      </c>
      <c r="H279" t="n">
        <v>0</v>
      </c>
      <c r="I279" t="n">
        <v>0</v>
      </c>
      <c r="J279" t="n">
        <v>0</v>
      </c>
      <c r="K279" t="n">
        <v>0</v>
      </c>
      <c r="L279" t="n">
        <v>0</v>
      </c>
      <c r="M279" t="n">
        <v>0</v>
      </c>
      <c r="N279" t="n">
        <v>0</v>
      </c>
      <c r="O279" t="n">
        <v>0</v>
      </c>
      <c r="P279" s="7">
        <f>IF(SUM(H279:K279)=0,"",H279/SUM(H279:K279))</f>
        <v/>
      </c>
      <c r="Q279" s="7">
        <f>IF(SUM(H279:K279)=0,"",I279/SUM(H279:K279))</f>
        <v/>
      </c>
      <c r="R279" s="7">
        <f>IF(SUM(H279:K279)=0,"",J279/SUM(H279:K279))</f>
        <v/>
      </c>
      <c r="S279" s="7">
        <f>IF(SUM(H279:K279)=0,"",K279/SUM(H279:K279))</f>
        <v/>
      </c>
      <c r="T279" s="7">
        <f>IF(SUM(L279:O279)=0,"",L279/SUM(L279:O279))</f>
        <v/>
      </c>
      <c r="U279" s="7">
        <f>IF(SUM(L279:O279)=0,"",M279/SUM(L279:O279))</f>
        <v/>
      </c>
      <c r="V279" s="7">
        <f>IF(SUM(L279:O279)=0,"",N279/SUM(L279:O279))</f>
        <v/>
      </c>
      <c r="W279" s="7">
        <f>IF(SUM(L279:O279)=0,"",O279/SUM(L279:O279))</f>
        <v/>
      </c>
    </row>
    <row r="280">
      <c r="A280" t="n">
        <v>334</v>
      </c>
      <c r="B280" t="inlineStr">
        <is>
          <t>VP for Community Investment</t>
        </is>
      </c>
      <c r="C280" t="n">
        <v>0</v>
      </c>
      <c r="D280" t="n">
        <v>0</v>
      </c>
      <c r="E280" t="n">
        <v>0</v>
      </c>
      <c r="F280" t="n">
        <v>0</v>
      </c>
      <c r="G280" t="b">
        <v>0</v>
      </c>
      <c r="H280" t="n">
        <v>0</v>
      </c>
      <c r="I280" t="n">
        <v>0</v>
      </c>
      <c r="J280" t="n">
        <v>0</v>
      </c>
      <c r="K280" t="n">
        <v>0</v>
      </c>
      <c r="L280" t="n">
        <v>0</v>
      </c>
      <c r="M280" t="n">
        <v>0</v>
      </c>
      <c r="N280" t="n">
        <v>0</v>
      </c>
      <c r="O280" t="n">
        <v>0</v>
      </c>
      <c r="P280" s="7">
        <f>IF(SUM(H280:K280)=0,"",H280/SUM(H280:K280))</f>
        <v/>
      </c>
      <c r="Q280" s="7">
        <f>IF(SUM(H280:K280)=0,"",I280/SUM(H280:K280))</f>
        <v/>
      </c>
      <c r="R280" s="7">
        <f>IF(SUM(H280:K280)=0,"",J280/SUM(H280:K280))</f>
        <v/>
      </c>
      <c r="S280" s="7">
        <f>IF(SUM(H280:K280)=0,"",K280/SUM(H280:K280))</f>
        <v/>
      </c>
      <c r="T280" s="7">
        <f>IF(SUM(L280:O280)=0,"",L280/SUM(L280:O280))</f>
        <v/>
      </c>
      <c r="U280" s="7">
        <f>IF(SUM(L280:O280)=0,"",M280/SUM(L280:O280))</f>
        <v/>
      </c>
      <c r="V280" s="7">
        <f>IF(SUM(L280:O280)=0,"",N280/SUM(L280:O280))</f>
        <v/>
      </c>
      <c r="W280" s="7">
        <f>IF(SUM(L280:O280)=0,"",O280/SUM(L280:O280))</f>
        <v/>
      </c>
    </row>
    <row r="281">
      <c r="A281" t="n">
        <v>335</v>
      </c>
      <c r="B281" t="inlineStr">
        <is>
          <t>[individual_tag] (as of March 2022)</t>
        </is>
      </c>
      <c r="C281" t="n">
        <v>0</v>
      </c>
      <c r="D281" t="n">
        <v>0</v>
      </c>
      <c r="E281" t="n">
        <v>0</v>
      </c>
      <c r="F281" t="n">
        <v>0</v>
      </c>
      <c r="G281" t="b">
        <v>0</v>
      </c>
      <c r="H281" t="n">
        <v>0</v>
      </c>
      <c r="I281" t="n">
        <v>0</v>
      </c>
      <c r="J281" t="n">
        <v>0</v>
      </c>
      <c r="K281" t="n">
        <v>0</v>
      </c>
      <c r="L281" t="n">
        <v>0</v>
      </c>
      <c r="M281" t="n">
        <v>0</v>
      </c>
      <c r="N281" t="n">
        <v>0</v>
      </c>
      <c r="O281" t="n">
        <v>0</v>
      </c>
      <c r="P281" s="7">
        <f>IF(SUM(H281:K281)=0,"",H281/SUM(H281:K281))</f>
        <v/>
      </c>
      <c r="Q281" s="7">
        <f>IF(SUM(H281:K281)=0,"",I281/SUM(H281:K281))</f>
        <v/>
      </c>
      <c r="R281" s="7">
        <f>IF(SUM(H281:K281)=0,"",J281/SUM(H281:K281))</f>
        <v/>
      </c>
      <c r="S281" s="7">
        <f>IF(SUM(H281:K281)=0,"",K281/SUM(H281:K281))</f>
        <v/>
      </c>
      <c r="T281" s="7">
        <f>IF(SUM(L281:O281)=0,"",L281/SUM(L281:O281))</f>
        <v/>
      </c>
      <c r="U281" s="7">
        <f>IF(SUM(L281:O281)=0,"",M281/SUM(L281:O281))</f>
        <v/>
      </c>
      <c r="V281" s="7">
        <f>IF(SUM(L281:O281)=0,"",N281/SUM(L281:O281))</f>
        <v/>
      </c>
      <c r="W281" s="7">
        <f>IF(SUM(L281:O281)=0,"",O281/SUM(L281:O281))</f>
        <v/>
      </c>
    </row>
    <row r="282">
      <c r="A282" t="n">
        <v>336</v>
      </c>
      <c r="B282" t="inlineStr">
        <is>
          <t>VP for Finance and Operations</t>
        </is>
      </c>
      <c r="C282" t="n">
        <v>0</v>
      </c>
      <c r="D282" t="n">
        <v>0</v>
      </c>
      <c r="E282" t="n">
        <v>0</v>
      </c>
      <c r="F282" t="n">
        <v>0</v>
      </c>
      <c r="G282" t="b">
        <v>0</v>
      </c>
      <c r="H282" t="n">
        <v>0</v>
      </c>
      <c r="I282" t="n">
        <v>0</v>
      </c>
      <c r="J282" t="n">
        <v>0</v>
      </c>
      <c r="K282" t="n">
        <v>0</v>
      </c>
      <c r="L282" t="n">
        <v>0</v>
      </c>
      <c r="M282" t="n">
        <v>0</v>
      </c>
      <c r="N282" t="n">
        <v>0</v>
      </c>
      <c r="O282" t="n">
        <v>0</v>
      </c>
      <c r="P282" s="7">
        <f>IF(SUM(H282:K282)=0,"",H282/SUM(H282:K282))</f>
        <v/>
      </c>
      <c r="Q282" s="7">
        <f>IF(SUM(H282:K282)=0,"",I282/SUM(H282:K282))</f>
        <v/>
      </c>
      <c r="R282" s="7">
        <f>IF(SUM(H282:K282)=0,"",J282/SUM(H282:K282))</f>
        <v/>
      </c>
      <c r="S282" s="7">
        <f>IF(SUM(H282:K282)=0,"",K282/SUM(H282:K282))</f>
        <v/>
      </c>
      <c r="T282" s="7">
        <f>IF(SUM(L282:O282)=0,"",L282/SUM(L282:O282))</f>
        <v/>
      </c>
      <c r="U282" s="7">
        <f>IF(SUM(L282:O282)=0,"",M282/SUM(L282:O282))</f>
        <v/>
      </c>
      <c r="V282" s="7">
        <f>IF(SUM(L282:O282)=0,"",N282/SUM(L282:O282))</f>
        <v/>
      </c>
      <c r="W282" s="7">
        <f>IF(SUM(L282:O282)=0,"",O282/SUM(L282:O282))</f>
        <v/>
      </c>
    </row>
    <row r="283">
      <c r="A283" t="n">
        <v>338</v>
      </c>
      <c r="B283" t="inlineStr">
        <is>
          <t>Chief Financial Officer</t>
        </is>
      </c>
      <c r="C283" t="n">
        <v>0</v>
      </c>
      <c r="D283" t="n">
        <v>0</v>
      </c>
      <c r="E283" t="n">
        <v>0</v>
      </c>
      <c r="F283" t="n">
        <v>0</v>
      </c>
      <c r="G283" t="b">
        <v>0</v>
      </c>
      <c r="H283" t="n">
        <v>0</v>
      </c>
      <c r="I283" t="n">
        <v>0</v>
      </c>
      <c r="J283" t="n">
        <v>0</v>
      </c>
      <c r="K283" t="n">
        <v>0</v>
      </c>
      <c r="L283" t="n">
        <v>0</v>
      </c>
      <c r="M283" t="n">
        <v>0</v>
      </c>
      <c r="N283" t="n">
        <v>0</v>
      </c>
      <c r="O283" t="n">
        <v>0</v>
      </c>
      <c r="P283" s="7">
        <f>IF(SUM(H283:K283)=0,"",H283/SUM(H283:K283))</f>
        <v/>
      </c>
      <c r="Q283" s="7">
        <f>IF(SUM(H283:K283)=0,"",I283/SUM(H283:K283))</f>
        <v/>
      </c>
      <c r="R283" s="7">
        <f>IF(SUM(H283:K283)=0,"",J283/SUM(H283:K283))</f>
        <v/>
      </c>
      <c r="S283" s="7">
        <f>IF(SUM(H283:K283)=0,"",K283/SUM(H283:K283))</f>
        <v/>
      </c>
      <c r="T283" s="7">
        <f>IF(SUM(L283:O283)=0,"",L283/SUM(L283:O283))</f>
        <v/>
      </c>
      <c r="U283" s="7">
        <f>IF(SUM(L283:O283)=0,"",M283/SUM(L283:O283))</f>
        <v/>
      </c>
      <c r="V283" s="7">
        <f>IF(SUM(L283:O283)=0,"",N283/SUM(L283:O283))</f>
        <v/>
      </c>
      <c r="W283" s="7">
        <f>IF(SUM(L283:O283)=0,"",O283/SUM(L283:O283))</f>
        <v/>
      </c>
    </row>
    <row r="284">
      <c r="A284" t="n">
        <v>339</v>
      </c>
      <c r="B284" t="inlineStr">
        <is>
          <t>[individual_tag] (as of Feb. 2022)</t>
        </is>
      </c>
      <c r="C284" t="n">
        <v>0</v>
      </c>
      <c r="D284" t="n">
        <v>0</v>
      </c>
      <c r="E284" t="n">
        <v>0</v>
      </c>
      <c r="F284" t="n">
        <v>0</v>
      </c>
      <c r="G284" t="b">
        <v>0</v>
      </c>
      <c r="H284" t="n">
        <v>0</v>
      </c>
      <c r="I284" t="n">
        <v>0</v>
      </c>
      <c r="J284" t="n">
        <v>0</v>
      </c>
      <c r="K284" t="n">
        <v>0</v>
      </c>
      <c r="L284" t="n">
        <v>0</v>
      </c>
      <c r="M284" t="n">
        <v>0</v>
      </c>
      <c r="N284" t="n">
        <v>0</v>
      </c>
      <c r="O284" t="n">
        <v>0</v>
      </c>
      <c r="P284" s="7">
        <f>IF(SUM(H284:K284)=0,"",H284/SUM(H284:K284))</f>
        <v/>
      </c>
      <c r="Q284" s="7">
        <f>IF(SUM(H284:K284)=0,"",I284/SUM(H284:K284))</f>
        <v/>
      </c>
      <c r="R284" s="7">
        <f>IF(SUM(H284:K284)=0,"",J284/SUM(H284:K284))</f>
        <v/>
      </c>
      <c r="S284" s="7">
        <f>IF(SUM(H284:K284)=0,"",K284/SUM(H284:K284))</f>
        <v/>
      </c>
      <c r="T284" s="7">
        <f>IF(SUM(L284:O284)=0,"",L284/SUM(L284:O284))</f>
        <v/>
      </c>
      <c r="U284" s="7">
        <f>IF(SUM(L284:O284)=0,"",M284/SUM(L284:O284))</f>
        <v/>
      </c>
      <c r="V284" s="7">
        <f>IF(SUM(L284:O284)=0,"",N284/SUM(L284:O284))</f>
        <v/>
      </c>
      <c r="W284" s="7">
        <f>IF(SUM(L284:O284)=0,"",O284/SUM(L284:O284))</f>
        <v/>
      </c>
    </row>
    <row r="285">
      <c r="A285" t="n">
        <v>340</v>
      </c>
      <c r="B285" t="inlineStr">
        <is>
          <t>Administrative Associate</t>
        </is>
      </c>
      <c r="C285" t="n">
        <v>0</v>
      </c>
      <c r="D285" t="n">
        <v>0</v>
      </c>
      <c r="E285" t="n">
        <v>0</v>
      </c>
      <c r="F285" t="n">
        <v>0</v>
      </c>
      <c r="G285" t="b">
        <v>0</v>
      </c>
      <c r="H285" t="n">
        <v>0</v>
      </c>
      <c r="I285" t="n">
        <v>0</v>
      </c>
      <c r="J285" t="n">
        <v>0</v>
      </c>
      <c r="K285" t="n">
        <v>0</v>
      </c>
      <c r="L285" t="n">
        <v>0</v>
      </c>
      <c r="M285" t="n">
        <v>0</v>
      </c>
      <c r="N285" t="n">
        <v>0</v>
      </c>
      <c r="O285" t="n">
        <v>0</v>
      </c>
      <c r="P285" s="7">
        <f>IF(SUM(H285:K285)=0,"",H285/SUM(H285:K285))</f>
        <v/>
      </c>
      <c r="Q285" s="7">
        <f>IF(SUM(H285:K285)=0,"",I285/SUM(H285:K285))</f>
        <v/>
      </c>
      <c r="R285" s="7">
        <f>IF(SUM(H285:K285)=0,"",J285/SUM(H285:K285))</f>
        <v/>
      </c>
      <c r="S285" s="7">
        <f>IF(SUM(H285:K285)=0,"",K285/SUM(H285:K285))</f>
        <v/>
      </c>
      <c r="T285" s="7">
        <f>IF(SUM(L285:O285)=0,"",L285/SUM(L285:O285))</f>
        <v/>
      </c>
      <c r="U285" s="7">
        <f>IF(SUM(L285:O285)=0,"",M285/SUM(L285:O285))</f>
        <v/>
      </c>
      <c r="V285" s="7">
        <f>IF(SUM(L285:O285)=0,"",N285/SUM(L285:O285))</f>
        <v/>
      </c>
      <c r="W285" s="7">
        <f>IF(SUM(L285:O285)=0,"",O285/SUM(L285:O285))</f>
        <v/>
      </c>
    </row>
    <row r="286">
      <c r="A286" t="n">
        <v>341</v>
      </c>
      <c r="B286" t="inlineStr">
        <is>
          <t>[individual_tag] (through Dec. 2021)</t>
        </is>
      </c>
      <c r="C286" t="n">
        <v>0</v>
      </c>
      <c r="D286" t="n">
        <v>0</v>
      </c>
      <c r="E286" t="n">
        <v>0</v>
      </c>
      <c r="F286" t="n">
        <v>0</v>
      </c>
      <c r="G286" t="b">
        <v>0</v>
      </c>
      <c r="H286" t="n">
        <v>0</v>
      </c>
      <c r="I286" t="n">
        <v>0</v>
      </c>
      <c r="J286" t="n">
        <v>0</v>
      </c>
      <c r="K286" t="n">
        <v>0</v>
      </c>
      <c r="L286" t="n">
        <v>0</v>
      </c>
      <c r="M286" t="n">
        <v>0</v>
      </c>
      <c r="N286" t="n">
        <v>0</v>
      </c>
      <c r="O286" t="n">
        <v>0</v>
      </c>
      <c r="P286" s="7">
        <f>IF(SUM(H286:K286)=0,"",H286/SUM(H286:K286))</f>
        <v/>
      </c>
      <c r="Q286" s="7">
        <f>IF(SUM(H286:K286)=0,"",I286/SUM(H286:K286))</f>
        <v/>
      </c>
      <c r="R286" s="7">
        <f>IF(SUM(H286:K286)=0,"",J286/SUM(H286:K286))</f>
        <v/>
      </c>
      <c r="S286" s="7">
        <f>IF(SUM(H286:K286)=0,"",K286/SUM(H286:K286))</f>
        <v/>
      </c>
      <c r="T286" s="7">
        <f>IF(SUM(L286:O286)=0,"",L286/SUM(L286:O286))</f>
        <v/>
      </c>
      <c r="U286" s="7">
        <f>IF(SUM(L286:O286)=0,"",M286/SUM(L286:O286))</f>
        <v/>
      </c>
      <c r="V286" s="7">
        <f>IF(SUM(L286:O286)=0,"",N286/SUM(L286:O286))</f>
        <v/>
      </c>
      <c r="W286" s="7">
        <f>IF(SUM(L286:O286)=0,"",O286/SUM(L286:O286))</f>
        <v/>
      </c>
    </row>
    <row r="287">
      <c r="A287" t="n">
        <v>342</v>
      </c>
      <c r="B287" t="inlineStr">
        <is>
          <t>Communications Coordinator</t>
        </is>
      </c>
      <c r="C287" t="n">
        <v>0</v>
      </c>
      <c r="D287" t="n">
        <v>0</v>
      </c>
      <c r="E287" t="n">
        <v>0</v>
      </c>
      <c r="F287" t="n">
        <v>0</v>
      </c>
      <c r="G287" t="b">
        <v>0</v>
      </c>
      <c r="H287" t="n">
        <v>0</v>
      </c>
      <c r="I287" t="n">
        <v>0</v>
      </c>
      <c r="J287" t="n">
        <v>0</v>
      </c>
      <c r="K287" t="n">
        <v>0</v>
      </c>
      <c r="L287" t="n">
        <v>0</v>
      </c>
      <c r="M287" t="n">
        <v>0</v>
      </c>
      <c r="N287" t="n">
        <v>0</v>
      </c>
      <c r="O287" t="n">
        <v>0</v>
      </c>
      <c r="P287" s="7">
        <f>IF(SUM(H287:K287)=0,"",H287/SUM(H287:K287))</f>
        <v/>
      </c>
      <c r="Q287" s="7">
        <f>IF(SUM(H287:K287)=0,"",I287/SUM(H287:K287))</f>
        <v/>
      </c>
      <c r="R287" s="7">
        <f>IF(SUM(H287:K287)=0,"",J287/SUM(H287:K287))</f>
        <v/>
      </c>
      <c r="S287" s="7">
        <f>IF(SUM(H287:K287)=0,"",K287/SUM(H287:K287))</f>
        <v/>
      </c>
      <c r="T287" s="7">
        <f>IF(SUM(L287:O287)=0,"",L287/SUM(L287:O287))</f>
        <v/>
      </c>
      <c r="U287" s="7">
        <f>IF(SUM(L287:O287)=0,"",M287/SUM(L287:O287))</f>
        <v/>
      </c>
      <c r="V287" s="7">
        <f>IF(SUM(L287:O287)=0,"",N287/SUM(L287:O287))</f>
        <v/>
      </c>
      <c r="W287" s="7">
        <f>IF(SUM(L287:O287)=0,"",O287/SUM(L287:O287))</f>
        <v/>
      </c>
    </row>
    <row r="288">
      <c r="A288" t="n">
        <v>344</v>
      </c>
      <c r="B288" t="inlineStr">
        <is>
          <t>(through May 2021)</t>
        </is>
      </c>
      <c r="C288" t="n">
        <v>0</v>
      </c>
      <c r="D288" t="n">
        <v>0</v>
      </c>
      <c r="E288" t="n">
        <v>0</v>
      </c>
      <c r="F288" t="n">
        <v>0</v>
      </c>
      <c r="G288" t="b">
        <v>0</v>
      </c>
      <c r="H288" t="n">
        <v>0</v>
      </c>
      <c r="I288" t="n">
        <v>0</v>
      </c>
      <c r="J288" t="n">
        <v>0</v>
      </c>
      <c r="K288" t="n">
        <v>0</v>
      </c>
      <c r="L288" t="n">
        <v>0</v>
      </c>
      <c r="M288" t="n">
        <v>0</v>
      </c>
      <c r="N288" t="n">
        <v>0</v>
      </c>
      <c r="O288" t="n">
        <v>0</v>
      </c>
      <c r="P288" s="7">
        <f>IF(SUM(H288:K288)=0,"",H288/SUM(H288:K288))</f>
        <v/>
      </c>
      <c r="Q288" s="7">
        <f>IF(SUM(H288:K288)=0,"",I288/SUM(H288:K288))</f>
        <v/>
      </c>
      <c r="R288" s="7">
        <f>IF(SUM(H288:K288)=0,"",J288/SUM(H288:K288))</f>
        <v/>
      </c>
      <c r="S288" s="7">
        <f>IF(SUM(H288:K288)=0,"",K288/SUM(H288:K288))</f>
        <v/>
      </c>
      <c r="T288" s="7">
        <f>IF(SUM(L288:O288)=0,"",L288/SUM(L288:O288))</f>
        <v/>
      </c>
      <c r="U288" s="7">
        <f>IF(SUM(L288:O288)=0,"",M288/SUM(L288:O288))</f>
        <v/>
      </c>
      <c r="V288" s="7">
        <f>IF(SUM(L288:O288)=0,"",N288/SUM(L288:O288))</f>
        <v/>
      </c>
      <c r="W288" s="7">
        <f>IF(SUM(L288:O288)=0,"",O288/SUM(L288:O288))</f>
        <v/>
      </c>
    </row>
    <row r="289">
      <c r="A289" t="n">
        <v>345</v>
      </c>
      <c r="B289" t="inlineStr">
        <is>
          <t>Leadership &amp;amp; Training Coordinator</t>
        </is>
      </c>
      <c r="C289" t="n">
        <v>0</v>
      </c>
      <c r="D289" t="n">
        <v>0</v>
      </c>
      <c r="E289" t="n">
        <v>0</v>
      </c>
      <c r="F289" t="n">
        <v>0</v>
      </c>
      <c r="G289" t="b">
        <v>0</v>
      </c>
      <c r="H289" t="n">
        <v>0</v>
      </c>
      <c r="I289" t="n">
        <v>0</v>
      </c>
      <c r="J289" t="n">
        <v>0</v>
      </c>
      <c r="K289" t="n">
        <v>0</v>
      </c>
      <c r="L289" t="n">
        <v>0</v>
      </c>
      <c r="M289" t="n">
        <v>0</v>
      </c>
      <c r="N289" t="n">
        <v>0</v>
      </c>
      <c r="O289" t="n">
        <v>0</v>
      </c>
      <c r="P289" s="7">
        <f>IF(SUM(H289:K289)=0,"",H289/SUM(H289:K289))</f>
        <v/>
      </c>
      <c r="Q289" s="7">
        <f>IF(SUM(H289:K289)=0,"",I289/SUM(H289:K289))</f>
        <v/>
      </c>
      <c r="R289" s="7">
        <f>IF(SUM(H289:K289)=0,"",J289/SUM(H289:K289))</f>
        <v/>
      </c>
      <c r="S289" s="7">
        <f>IF(SUM(H289:K289)=0,"",K289/SUM(H289:K289))</f>
        <v/>
      </c>
      <c r="T289" s="7">
        <f>IF(SUM(L289:O289)=0,"",L289/SUM(L289:O289))</f>
        <v/>
      </c>
      <c r="U289" s="7">
        <f>IF(SUM(L289:O289)=0,"",M289/SUM(L289:O289))</f>
        <v/>
      </c>
      <c r="V289" s="7">
        <f>IF(SUM(L289:O289)=0,"",N289/SUM(L289:O289))</f>
        <v/>
      </c>
      <c r="W289" s="7">
        <f>IF(SUM(L289:O289)=0,"",O289/SUM(L289:O289))</f>
        <v/>
      </c>
    </row>
    <row r="290">
      <c r="A290" t="n">
        <v>347</v>
      </c>
      <c r="B290" t="inlineStr">
        <is>
          <t>Director of Leadership &amp;amp; Training</t>
        </is>
      </c>
      <c r="C290" t="n">
        <v>0</v>
      </c>
      <c r="D290" t="n">
        <v>0</v>
      </c>
      <c r="E290" t="n">
        <v>0</v>
      </c>
      <c r="F290" t="n">
        <v>0</v>
      </c>
      <c r="G290" t="b">
        <v>0</v>
      </c>
      <c r="H290" t="n">
        <v>0</v>
      </c>
      <c r="I290" t="n">
        <v>0</v>
      </c>
      <c r="J290" t="n">
        <v>0</v>
      </c>
      <c r="K290" t="n">
        <v>0</v>
      </c>
      <c r="L290" t="n">
        <v>0</v>
      </c>
      <c r="M290" t="n">
        <v>0</v>
      </c>
      <c r="N290" t="n">
        <v>0</v>
      </c>
      <c r="O290" t="n">
        <v>0</v>
      </c>
      <c r="P290" s="7">
        <f>IF(SUM(H290:K290)=0,"",H290/SUM(H290:K290))</f>
        <v/>
      </c>
      <c r="Q290" s="7">
        <f>IF(SUM(H290:K290)=0,"",I290/SUM(H290:K290))</f>
        <v/>
      </c>
      <c r="R290" s="7">
        <f>IF(SUM(H290:K290)=0,"",J290/SUM(H290:K290))</f>
        <v/>
      </c>
      <c r="S290" s="7">
        <f>IF(SUM(H290:K290)=0,"",K290/SUM(H290:K290))</f>
        <v/>
      </c>
      <c r="T290" s="7">
        <f>IF(SUM(L290:O290)=0,"",L290/SUM(L290:O290))</f>
        <v/>
      </c>
      <c r="U290" s="7">
        <f>IF(SUM(L290:O290)=0,"",M290/SUM(L290:O290))</f>
        <v/>
      </c>
      <c r="V290" s="7">
        <f>IF(SUM(L290:O290)=0,"",N290/SUM(L290:O290))</f>
        <v/>
      </c>
      <c r="W290" s="7">
        <f>IF(SUM(L290:O290)=0,"",O290/SUM(L290:O290))</f>
        <v/>
      </c>
    </row>
    <row r="291">
      <c r="A291" t="n">
        <v>348</v>
      </c>
      <c r="B291" t="inlineStr">
        <is>
          <t>[individual_tag] (through Feb. 2022)</t>
        </is>
      </c>
      <c r="C291" t="n">
        <v>0</v>
      </c>
      <c r="D291" t="n">
        <v>0</v>
      </c>
      <c r="E291" t="n">
        <v>0</v>
      </c>
      <c r="F291" t="n">
        <v>0</v>
      </c>
      <c r="G291" t="b">
        <v>0</v>
      </c>
      <c r="H291" t="n">
        <v>0</v>
      </c>
      <c r="I291" t="n">
        <v>0</v>
      </c>
      <c r="J291" t="n">
        <v>0</v>
      </c>
      <c r="K291" t="n">
        <v>0</v>
      </c>
      <c r="L291" t="n">
        <v>0</v>
      </c>
      <c r="M291" t="n">
        <v>0</v>
      </c>
      <c r="N291" t="n">
        <v>0</v>
      </c>
      <c r="O291" t="n">
        <v>0</v>
      </c>
      <c r="P291" s="7">
        <f>IF(SUM(H291:K291)=0,"",H291/SUM(H291:K291))</f>
        <v/>
      </c>
      <c r="Q291" s="7">
        <f>IF(SUM(H291:K291)=0,"",I291/SUM(H291:K291))</f>
        <v/>
      </c>
      <c r="R291" s="7">
        <f>IF(SUM(H291:K291)=0,"",J291/SUM(H291:K291))</f>
        <v/>
      </c>
      <c r="S291" s="7">
        <f>IF(SUM(H291:K291)=0,"",K291/SUM(H291:K291))</f>
        <v/>
      </c>
      <c r="T291" s="7">
        <f>IF(SUM(L291:O291)=0,"",L291/SUM(L291:O291))</f>
        <v/>
      </c>
      <c r="U291" s="7">
        <f>IF(SUM(L291:O291)=0,"",M291/SUM(L291:O291))</f>
        <v/>
      </c>
      <c r="V291" s="7">
        <f>IF(SUM(L291:O291)=0,"",N291/SUM(L291:O291))</f>
        <v/>
      </c>
      <c r="W291" s="7">
        <f>IF(SUM(L291:O291)=0,"",O291/SUM(L291:O291))</f>
        <v/>
      </c>
    </row>
    <row r="292">
      <c r="A292" t="n">
        <v>349</v>
      </c>
      <c r="B292" t="inlineStr">
        <is>
          <t>Donor Relations Manager</t>
        </is>
      </c>
      <c r="C292" t="n">
        <v>0</v>
      </c>
      <c r="D292" t="n">
        <v>0</v>
      </c>
      <c r="E292" t="n">
        <v>0</v>
      </c>
      <c r="F292" t="n">
        <v>0</v>
      </c>
      <c r="G292" t="b">
        <v>0</v>
      </c>
      <c r="H292" t="n">
        <v>0</v>
      </c>
      <c r="I292" t="n">
        <v>0</v>
      </c>
      <c r="J292" t="n">
        <v>0</v>
      </c>
      <c r="K292" t="n">
        <v>0</v>
      </c>
      <c r="L292" t="n">
        <v>0</v>
      </c>
      <c r="M292" t="n">
        <v>0</v>
      </c>
      <c r="N292" t="n">
        <v>0</v>
      </c>
      <c r="O292" t="n">
        <v>0</v>
      </c>
      <c r="P292" s="7">
        <f>IF(SUM(H292:K292)=0,"",H292/SUM(H292:K292))</f>
        <v/>
      </c>
      <c r="Q292" s="7">
        <f>IF(SUM(H292:K292)=0,"",I292/SUM(H292:K292))</f>
        <v/>
      </c>
      <c r="R292" s="7">
        <f>IF(SUM(H292:K292)=0,"",J292/SUM(H292:K292))</f>
        <v/>
      </c>
      <c r="S292" s="7">
        <f>IF(SUM(H292:K292)=0,"",K292/SUM(H292:K292))</f>
        <v/>
      </c>
      <c r="T292" s="7">
        <f>IF(SUM(L292:O292)=0,"",L292/SUM(L292:O292))</f>
        <v/>
      </c>
      <c r="U292" s="7">
        <f>IF(SUM(L292:O292)=0,"",M292/SUM(L292:O292))</f>
        <v/>
      </c>
      <c r="V292" s="7">
        <f>IF(SUM(L292:O292)=0,"",N292/SUM(L292:O292))</f>
        <v/>
      </c>
      <c r="W292" s="7">
        <f>IF(SUM(L292:O292)=0,"",O292/SUM(L292:O292))</f>
        <v/>
      </c>
    </row>
    <row r="293">
      <c r="A293" t="n">
        <v>351</v>
      </c>
      <c r="B293" t="inlineStr">
        <is>
          <t>VP for Philanthropy &amp;amp; Communications</t>
        </is>
      </c>
      <c r="C293" t="n">
        <v>0</v>
      </c>
      <c r="D293" t="n">
        <v>0</v>
      </c>
      <c r="E293" t="n">
        <v>0</v>
      </c>
      <c r="F293" t="n">
        <v>0</v>
      </c>
      <c r="G293" t="b">
        <v>0</v>
      </c>
      <c r="H293" t="n">
        <v>0</v>
      </c>
      <c r="I293" t="n">
        <v>0</v>
      </c>
      <c r="J293" t="n">
        <v>0</v>
      </c>
      <c r="K293" t="n">
        <v>0</v>
      </c>
      <c r="L293" t="n">
        <v>0</v>
      </c>
      <c r="M293" t="n">
        <v>0</v>
      </c>
      <c r="N293" t="n">
        <v>0</v>
      </c>
      <c r="O293" t="n">
        <v>0</v>
      </c>
      <c r="P293" s="7">
        <f>IF(SUM(H293:K293)=0,"",H293/SUM(H293:K293))</f>
        <v/>
      </c>
      <c r="Q293" s="7">
        <f>IF(SUM(H293:K293)=0,"",I293/SUM(H293:K293))</f>
        <v/>
      </c>
      <c r="R293" s="7">
        <f>IF(SUM(H293:K293)=0,"",J293/SUM(H293:K293))</f>
        <v/>
      </c>
      <c r="S293" s="7">
        <f>IF(SUM(H293:K293)=0,"",K293/SUM(H293:K293))</f>
        <v/>
      </c>
      <c r="T293" s="7">
        <f>IF(SUM(L293:O293)=0,"",L293/SUM(L293:O293))</f>
        <v/>
      </c>
      <c r="U293" s="7">
        <f>IF(SUM(L293:O293)=0,"",M293/SUM(L293:O293))</f>
        <v/>
      </c>
      <c r="V293" s="7">
        <f>IF(SUM(L293:O293)=0,"",N293/SUM(L293:O293))</f>
        <v/>
      </c>
      <c r="W293" s="7">
        <f>IF(SUM(L293:O293)=0,"",O293/SUM(L293:O293))</f>
        <v/>
      </c>
    </row>
    <row r="294">
      <c r="A294" t="n">
        <v>353</v>
      </c>
      <c r="B294" t="inlineStr">
        <is>
          <t>Community Investment Advisor</t>
        </is>
      </c>
      <c r="C294" t="n">
        <v>0</v>
      </c>
      <c r="D294" t="n">
        <v>0</v>
      </c>
      <c r="E294" t="n">
        <v>0</v>
      </c>
      <c r="F294" t="n">
        <v>0</v>
      </c>
      <c r="G294" t="b">
        <v>0</v>
      </c>
      <c r="H294" t="n">
        <v>0</v>
      </c>
      <c r="I294" t="n">
        <v>0</v>
      </c>
      <c r="J294" t="n">
        <v>0</v>
      </c>
      <c r="K294" t="n">
        <v>0</v>
      </c>
      <c r="L294" t="n">
        <v>0</v>
      </c>
      <c r="M294" t="n">
        <v>0</v>
      </c>
      <c r="N294" t="n">
        <v>0</v>
      </c>
      <c r="O294" t="n">
        <v>0</v>
      </c>
      <c r="P294" s="7">
        <f>IF(SUM(H294:K294)=0,"",H294/SUM(H294:K294))</f>
        <v/>
      </c>
      <c r="Q294" s="7">
        <f>IF(SUM(H294:K294)=0,"",I294/SUM(H294:K294))</f>
        <v/>
      </c>
      <c r="R294" s="7">
        <f>IF(SUM(H294:K294)=0,"",J294/SUM(H294:K294))</f>
        <v/>
      </c>
      <c r="S294" s="7">
        <f>IF(SUM(H294:K294)=0,"",K294/SUM(H294:K294))</f>
        <v/>
      </c>
      <c r="T294" s="7">
        <f>IF(SUM(L294:O294)=0,"",L294/SUM(L294:O294))</f>
        <v/>
      </c>
      <c r="U294" s="7">
        <f>IF(SUM(L294:O294)=0,"",M294/SUM(L294:O294))</f>
        <v/>
      </c>
      <c r="V294" s="7">
        <f>IF(SUM(L294:O294)=0,"",N294/SUM(L294:O294))</f>
        <v/>
      </c>
      <c r="W294" s="7">
        <f>IF(SUM(L294:O294)=0,"",O294/SUM(L294:O294))</f>
        <v/>
      </c>
    </row>
    <row r="295">
      <c r="A295" t="n">
        <v>355</v>
      </c>
      <c r="B295" t="inlineStr">
        <is>
          <t>Accounting Manager</t>
        </is>
      </c>
      <c r="C295" t="n">
        <v>0</v>
      </c>
      <c r="D295" t="n">
        <v>0</v>
      </c>
      <c r="E295" t="n">
        <v>0</v>
      </c>
      <c r="F295" t="n">
        <v>0</v>
      </c>
      <c r="G295" t="b">
        <v>0</v>
      </c>
      <c r="H295" t="n">
        <v>0</v>
      </c>
      <c r="I295" t="n">
        <v>0</v>
      </c>
      <c r="J295" t="n">
        <v>0</v>
      </c>
      <c r="K295" t="n">
        <v>0</v>
      </c>
      <c r="L295" t="n">
        <v>0</v>
      </c>
      <c r="M295" t="n">
        <v>0</v>
      </c>
      <c r="N295" t="n">
        <v>0</v>
      </c>
      <c r="O295" t="n">
        <v>0</v>
      </c>
      <c r="P295" s="7">
        <f>IF(SUM(H295:K295)=0,"",H295/SUM(H295:K295))</f>
        <v/>
      </c>
      <c r="Q295" s="7">
        <f>IF(SUM(H295:K295)=0,"",I295/SUM(H295:K295))</f>
        <v/>
      </c>
      <c r="R295" s="7">
        <f>IF(SUM(H295:K295)=0,"",J295/SUM(H295:K295))</f>
        <v/>
      </c>
      <c r="S295" s="7">
        <f>IF(SUM(H295:K295)=0,"",K295/SUM(H295:K295))</f>
        <v/>
      </c>
      <c r="T295" s="7">
        <f>IF(SUM(L295:O295)=0,"",L295/SUM(L295:O295))</f>
        <v/>
      </c>
      <c r="U295" s="7">
        <f>IF(SUM(L295:O295)=0,"",M295/SUM(L295:O295))</f>
        <v/>
      </c>
      <c r="V295" s="7">
        <f>IF(SUM(L295:O295)=0,"",N295/SUM(L295:O295))</f>
        <v/>
      </c>
      <c r="W295" s="7">
        <f>IF(SUM(L295:O295)=0,"",O295/SUM(L295:O295))</f>
        <v/>
      </c>
    </row>
    <row r="296">
      <c r="A296" t="n">
        <v>357</v>
      </c>
      <c r="B296" t="inlineStr">
        <is>
          <t>Program Associate</t>
        </is>
      </c>
      <c r="C296" t="n">
        <v>0</v>
      </c>
      <c r="D296" t="n">
        <v>0</v>
      </c>
      <c r="E296" t="n">
        <v>0</v>
      </c>
      <c r="F296" t="n">
        <v>0</v>
      </c>
      <c r="G296" t="b">
        <v>0</v>
      </c>
      <c r="H296" t="n">
        <v>0</v>
      </c>
      <c r="I296" t="n">
        <v>0</v>
      </c>
      <c r="J296" t="n">
        <v>0</v>
      </c>
      <c r="K296" t="n">
        <v>0</v>
      </c>
      <c r="L296" t="n">
        <v>0</v>
      </c>
      <c r="M296" t="n">
        <v>0</v>
      </c>
      <c r="N296" t="n">
        <v>0</v>
      </c>
      <c r="O296" t="n">
        <v>0</v>
      </c>
      <c r="P296" s="7">
        <f>IF(SUM(H296:K296)=0,"",H296/SUM(H296:K296))</f>
        <v/>
      </c>
      <c r="Q296" s="7">
        <f>IF(SUM(H296:K296)=0,"",I296/SUM(H296:K296))</f>
        <v/>
      </c>
      <c r="R296" s="7">
        <f>IF(SUM(H296:K296)=0,"",J296/SUM(H296:K296))</f>
        <v/>
      </c>
      <c r="S296" s="7">
        <f>IF(SUM(H296:K296)=0,"",K296/SUM(H296:K296))</f>
        <v/>
      </c>
      <c r="T296" s="7">
        <f>IF(SUM(L296:O296)=0,"",L296/SUM(L296:O296))</f>
        <v/>
      </c>
      <c r="U296" s="7">
        <f>IF(SUM(L296:O296)=0,"",M296/SUM(L296:O296))</f>
        <v/>
      </c>
      <c r="V296" s="7">
        <f>IF(SUM(L296:O296)=0,"",N296/SUM(L296:O296))</f>
        <v/>
      </c>
      <c r="W296" s="7">
        <f>IF(SUM(L296:O296)=0,"",O296/SUM(L296:O296))</f>
        <v/>
      </c>
    </row>
    <row r="297">
      <c r="A297" t="n">
        <v>359</v>
      </c>
      <c r="B297" t="inlineStr">
        <is>
          <t>Office and Technology Manager</t>
        </is>
      </c>
      <c r="C297" t="n">
        <v>0</v>
      </c>
      <c r="D297" t="n">
        <v>0</v>
      </c>
      <c r="E297" t="n">
        <v>0</v>
      </c>
      <c r="F297" t="n">
        <v>0</v>
      </c>
      <c r="G297" t="b">
        <v>0</v>
      </c>
      <c r="H297" t="n">
        <v>0</v>
      </c>
      <c r="I297" t="n">
        <v>0</v>
      </c>
      <c r="J297" t="n">
        <v>0</v>
      </c>
      <c r="K297" t="n">
        <v>0</v>
      </c>
      <c r="L297" t="n">
        <v>0</v>
      </c>
      <c r="M297" t="n">
        <v>0</v>
      </c>
      <c r="N297" t="n">
        <v>0</v>
      </c>
      <c r="O297" t="n">
        <v>0</v>
      </c>
      <c r="P297" s="7">
        <f>IF(SUM(H297:K297)=0,"",H297/SUM(H297:K297))</f>
        <v/>
      </c>
      <c r="Q297" s="7">
        <f>IF(SUM(H297:K297)=0,"",I297/SUM(H297:K297))</f>
        <v/>
      </c>
      <c r="R297" s="7">
        <f>IF(SUM(H297:K297)=0,"",J297/SUM(H297:K297))</f>
        <v/>
      </c>
      <c r="S297" s="7">
        <f>IF(SUM(H297:K297)=0,"",K297/SUM(H297:K297))</f>
        <v/>
      </c>
      <c r="T297" s="7">
        <f>IF(SUM(L297:O297)=0,"",L297/SUM(L297:O297))</f>
        <v/>
      </c>
      <c r="U297" s="7">
        <f>IF(SUM(L297:O297)=0,"",M297/SUM(L297:O297))</f>
        <v/>
      </c>
      <c r="V297" s="7">
        <f>IF(SUM(L297:O297)=0,"",N297/SUM(L297:O297))</f>
        <v/>
      </c>
      <c r="W297" s="7">
        <f>IF(SUM(L297:O297)=0,"",O297/SUM(L297:O297))</f>
        <v/>
      </c>
    </row>
    <row r="298">
      <c r="A298" t="n">
        <v>361</v>
      </c>
      <c r="B298" t="inlineStr">
        <is>
          <t>Database Manager and</t>
        </is>
      </c>
      <c r="C298" t="n">
        <v>0</v>
      </c>
      <c r="D298" t="n">
        <v>0</v>
      </c>
      <c r="E298" t="n">
        <v>0</v>
      </c>
      <c r="F298" t="n">
        <v>0</v>
      </c>
      <c r="G298" t="b">
        <v>0</v>
      </c>
      <c r="H298" t="n">
        <v>0</v>
      </c>
      <c r="I298" t="n">
        <v>0</v>
      </c>
      <c r="J298" t="n">
        <v>0</v>
      </c>
      <c r="K298" t="n">
        <v>0</v>
      </c>
      <c r="L298" t="n">
        <v>0</v>
      </c>
      <c r="M298" t="n">
        <v>0</v>
      </c>
      <c r="N298" t="n">
        <v>0</v>
      </c>
      <c r="O298" t="n">
        <v>0</v>
      </c>
      <c r="P298" s="7">
        <f>IF(SUM(H298:K298)=0,"",H298/SUM(H298:K298))</f>
        <v/>
      </c>
      <c r="Q298" s="7">
        <f>IF(SUM(H298:K298)=0,"",I298/SUM(H298:K298))</f>
        <v/>
      </c>
      <c r="R298" s="7">
        <f>IF(SUM(H298:K298)=0,"",J298/SUM(H298:K298))</f>
        <v/>
      </c>
      <c r="S298" s="7">
        <f>IF(SUM(H298:K298)=0,"",K298/SUM(H298:K298))</f>
        <v/>
      </c>
      <c r="T298" s="7">
        <f>IF(SUM(L298:O298)=0,"",L298/SUM(L298:O298))</f>
        <v/>
      </c>
      <c r="U298" s="7">
        <f>IF(SUM(L298:O298)=0,"",M298/SUM(L298:O298))</f>
        <v/>
      </c>
      <c r="V298" s="7">
        <f>IF(SUM(L298:O298)=0,"",N298/SUM(L298:O298))</f>
        <v/>
      </c>
      <c r="W298" s="7">
        <f>IF(SUM(L298:O298)=0,"",O298/SUM(L298:O298))</f>
        <v/>
      </c>
    </row>
    <row r="299">
      <c r="A299" t="n">
        <v>362</v>
      </c>
      <c r="B299" t="inlineStr">
        <is>
          <t>Donor Services Associate '[community_foundation_tag] represents this type of support that stretches across the community.</t>
        </is>
      </c>
      <c r="C299" t="n">
        <v>0</v>
      </c>
      <c r="D299" t="n">
        <v>1</v>
      </c>
      <c r="E299" t="n">
        <v>0</v>
      </c>
      <c r="F299" t="n">
        <v>0</v>
      </c>
      <c r="G299" t="b">
        <v>0</v>
      </c>
      <c r="H299" t="n">
        <v>0</v>
      </c>
      <c r="I299" t="n">
        <v>0</v>
      </c>
      <c r="J299" t="n">
        <v>0</v>
      </c>
      <c r="K299" t="n">
        <v>0</v>
      </c>
      <c r="L299" t="n">
        <v>2</v>
      </c>
      <c r="M299" t="n">
        <v>0</v>
      </c>
      <c r="N299" t="n">
        <v>1</v>
      </c>
      <c r="O299" t="n">
        <v>0</v>
      </c>
      <c r="P299" s="7">
        <f>IF(SUM(H299:K299)=0,"",H299/SUM(H299:K299))</f>
        <v/>
      </c>
      <c r="Q299" s="7">
        <f>IF(SUM(H299:K299)=0,"",I299/SUM(H299:K299))</f>
        <v/>
      </c>
      <c r="R299" s="7">
        <f>IF(SUM(H299:K299)=0,"",J299/SUM(H299:K299))</f>
        <v/>
      </c>
      <c r="S299" s="7">
        <f>IF(SUM(H299:K299)=0,"",K299/SUM(H299:K299))</f>
        <v/>
      </c>
      <c r="T299" s="7">
        <f>IF(SUM(L299:O299)=0,"",L299/SUM(L299:O299))</f>
        <v/>
      </c>
      <c r="U299" s="7">
        <f>IF(SUM(L299:O299)=0,"",M299/SUM(L299:O299))</f>
        <v/>
      </c>
      <c r="V299" s="7">
        <f>IF(SUM(L299:O299)=0,"",N299/SUM(L299:O299))</f>
        <v/>
      </c>
      <c r="W299" s="7">
        <f>IF(SUM(L299:O299)=0,"",O299/SUM(L299:O299))</f>
        <v/>
      </c>
    </row>
    <row r="300">
      <c r="A300" t="n">
        <v>363</v>
      </c>
      <c r="B300" t="inlineStr">
        <is>
          <t>My gift when pooled with other gifts at [community_foundation_tag] will make a difference.</t>
        </is>
      </c>
      <c r="C300" t="n">
        <v>0</v>
      </c>
      <c r="D300" t="n">
        <v>1</v>
      </c>
      <c r="E300" t="n">
        <v>0</v>
      </c>
      <c r="F300" t="n">
        <v>0</v>
      </c>
      <c r="G300" t="b">
        <v>0</v>
      </c>
      <c r="H300" t="n">
        <v>0</v>
      </c>
      <c r="I300" t="n">
        <v>0</v>
      </c>
      <c r="J300" t="n">
        <v>0</v>
      </c>
      <c r="K300" t="n">
        <v>0</v>
      </c>
      <c r="L300" t="n">
        <v>2</v>
      </c>
      <c r="M300" t="n">
        <v>1</v>
      </c>
      <c r="N300" t="n">
        <v>0</v>
      </c>
      <c r="O300" t="n">
        <v>0</v>
      </c>
      <c r="P300" s="7">
        <f>IF(SUM(H300:K300)=0,"",H300/SUM(H300:K300))</f>
        <v/>
      </c>
      <c r="Q300" s="7">
        <f>IF(SUM(H300:K300)=0,"",I300/SUM(H300:K300))</f>
        <v/>
      </c>
      <c r="R300" s="7">
        <f>IF(SUM(H300:K300)=0,"",J300/SUM(H300:K300))</f>
        <v/>
      </c>
      <c r="S300" s="7">
        <f>IF(SUM(H300:K300)=0,"",K300/SUM(H300:K300))</f>
        <v/>
      </c>
      <c r="T300" s="7">
        <f>IF(SUM(L300:O300)=0,"",L300/SUM(L300:O300))</f>
        <v/>
      </c>
      <c r="U300" s="7">
        <f>IF(SUM(L300:O300)=0,"",M300/SUM(L300:O300))</f>
        <v/>
      </c>
      <c r="V300" s="7">
        <f>IF(SUM(L300:O300)=0,"",N300/SUM(L300:O300))</f>
        <v/>
      </c>
      <c r="W300" s="7">
        <f>IF(SUM(L300:O300)=0,"",O300/SUM(L300:O300))</f>
        <v/>
      </c>
    </row>
    <row r="301">
      <c r="A301" t="n">
        <v>364</v>
      </c>
      <c r="B301" t="inlineStr">
        <is>
          <t>I believe in the power of working together.'</t>
        </is>
      </c>
      <c r="C301" t="n">
        <v>1</v>
      </c>
      <c r="D301" t="n">
        <v>1</v>
      </c>
      <c r="E301" t="n">
        <v>0</v>
      </c>
      <c r="F301" t="n">
        <v>0</v>
      </c>
      <c r="G301" t="b">
        <v>1</v>
      </c>
      <c r="H301" t="n">
        <v>0</v>
      </c>
      <c r="I301" t="n">
        <v>0</v>
      </c>
      <c r="J301" t="n">
        <v>2</v>
      </c>
      <c r="K301" t="n">
        <v>0</v>
      </c>
      <c r="L301" t="n">
        <v>1</v>
      </c>
      <c r="M301" t="n">
        <v>0</v>
      </c>
      <c r="N301" t="n">
        <v>2</v>
      </c>
      <c r="O301" t="n">
        <v>0</v>
      </c>
      <c r="P301" s="7">
        <f>IF(SUM(H301:K301)=0,"",H301/SUM(H301:K301))</f>
        <v/>
      </c>
      <c r="Q301" s="7">
        <f>IF(SUM(H301:K301)=0,"",I301/SUM(H301:K301))</f>
        <v/>
      </c>
      <c r="R301" s="7">
        <f>IF(SUM(H301:K301)=0,"",J301/SUM(H301:K301))</f>
        <v/>
      </c>
      <c r="S301" s="7">
        <f>IF(SUM(H301:K301)=0,"",K301/SUM(H301:K301))</f>
        <v/>
      </c>
      <c r="T301" s="7">
        <f>IF(SUM(L301:O301)=0,"",L301/SUM(L301:O301))</f>
        <v/>
      </c>
      <c r="U301" s="7">
        <f>IF(SUM(L301:O301)=0,"",M301/SUM(L301:O301))</f>
        <v/>
      </c>
      <c r="V301" s="7">
        <f>IF(SUM(L301:O301)=0,"",N301/SUM(L301:O301))</f>
        <v/>
      </c>
      <c r="W301" s="7">
        <f>IF(SUM(L301:O301)=0,"",O301/SUM(L301:O301))</f>
        <v/>
      </c>
    </row>
    <row r="302">
      <c r="A302" t="n">
        <v>366</v>
      </c>
      <c r="B302" t="inlineStr">
        <is>
          <t>Neighborhood leader • activist • [community_foundation_tag] supporter</t>
        </is>
      </c>
      <c r="C302" t="n">
        <v>0</v>
      </c>
      <c r="D302" t="n">
        <v>1</v>
      </c>
      <c r="E302" t="n">
        <v>0</v>
      </c>
      <c r="F302" t="n">
        <v>0</v>
      </c>
      <c r="G302" t="b">
        <v>0</v>
      </c>
      <c r="H302" t="n">
        <v>0</v>
      </c>
      <c r="I302" t="n">
        <v>0</v>
      </c>
      <c r="J302" t="n">
        <v>0</v>
      </c>
      <c r="K302" t="n">
        <v>0</v>
      </c>
      <c r="L302" t="n">
        <v>2</v>
      </c>
      <c r="M302" t="n">
        <v>0</v>
      </c>
      <c r="N302" t="n">
        <v>0</v>
      </c>
      <c r="O302" t="n">
        <v>1</v>
      </c>
      <c r="P302" s="7">
        <f>IF(SUM(H302:K302)=0,"",H302/SUM(H302:K302))</f>
        <v/>
      </c>
      <c r="Q302" s="7">
        <f>IF(SUM(H302:K302)=0,"",I302/SUM(H302:K302))</f>
        <v/>
      </c>
      <c r="R302" s="7">
        <f>IF(SUM(H302:K302)=0,"",J302/SUM(H302:K302))</f>
        <v/>
      </c>
      <c r="S302" s="7">
        <f>IF(SUM(H302:K302)=0,"",K302/SUM(H302:K302))</f>
        <v/>
      </c>
      <c r="T302" s="7">
        <f>IF(SUM(L302:O302)=0,"",L302/SUM(L302:O302))</f>
        <v/>
      </c>
      <c r="U302" s="7">
        <f>IF(SUM(L302:O302)=0,"",M302/SUM(L302:O302))</f>
        <v/>
      </c>
      <c r="V302" s="7">
        <f>IF(SUM(L302:O302)=0,"",N302/SUM(L302:O302))</f>
        <v/>
      </c>
      <c r="W302" s="7">
        <f>IF(SUM(L302:O302)=0,"",O302/SUM(L302:O302))</f>
        <v/>
      </c>
    </row>
    <row r="303">
      <c r="A303" t="n">
        <v>367</v>
      </c>
      <c r="B303" t="inlineStr">
        <is>
          <t>FINANCE &amp;amp; INVESTMENTS</t>
        </is>
      </c>
      <c r="C303" t="n">
        <v>0</v>
      </c>
      <c r="D303" t="n">
        <v>0</v>
      </c>
      <c r="E303" t="n">
        <v>0</v>
      </c>
      <c r="F303" t="n">
        <v>0</v>
      </c>
      <c r="G303" t="b">
        <v>0</v>
      </c>
      <c r="H303" t="n">
        <v>0</v>
      </c>
      <c r="I303" t="n">
        <v>0</v>
      </c>
      <c r="J303" t="n">
        <v>0</v>
      </c>
      <c r="K303" t="n">
        <v>0</v>
      </c>
      <c r="L303" t="n">
        <v>0</v>
      </c>
      <c r="M303" t="n">
        <v>0</v>
      </c>
      <c r="N303" t="n">
        <v>0</v>
      </c>
      <c r="O303" t="n">
        <v>0</v>
      </c>
      <c r="P303" s="7">
        <f>IF(SUM(H303:K303)=0,"",H303/SUM(H303:K303))</f>
        <v/>
      </c>
      <c r="Q303" s="7">
        <f>IF(SUM(H303:K303)=0,"",I303/SUM(H303:K303))</f>
        <v/>
      </c>
      <c r="R303" s="7">
        <f>IF(SUM(H303:K303)=0,"",J303/SUM(H303:K303))</f>
        <v/>
      </c>
      <c r="S303" s="7">
        <f>IF(SUM(H303:K303)=0,"",K303/SUM(H303:K303))</f>
        <v/>
      </c>
      <c r="T303" s="7">
        <f>IF(SUM(L303:O303)=0,"",L303/SUM(L303:O303))</f>
        <v/>
      </c>
      <c r="U303" s="7">
        <f>IF(SUM(L303:O303)=0,"",M303/SUM(L303:O303))</f>
        <v/>
      </c>
      <c r="V303" s="7">
        <f>IF(SUM(L303:O303)=0,"",N303/SUM(L303:O303))</f>
        <v/>
      </c>
      <c r="W303" s="7">
        <f>IF(SUM(L303:O303)=0,"",O303/SUM(L303:O303))</f>
        <v/>
      </c>
    </row>
    <row r="304">
      <c r="A304" t="n">
        <v>368</v>
      </c>
      <c r="B304" t="inlineStr">
        <is>
          <t>2021 investment results</t>
        </is>
      </c>
      <c r="C304" t="n">
        <v>1</v>
      </c>
      <c r="D304" t="n">
        <v>0</v>
      </c>
      <c r="E304" t="n">
        <v>0</v>
      </c>
      <c r="F304" t="n">
        <v>0</v>
      </c>
      <c r="G304" t="b">
        <v>0</v>
      </c>
      <c r="H304" t="n">
        <v>2</v>
      </c>
      <c r="I304" t="n">
        <v>0</v>
      </c>
      <c r="J304" t="n">
        <v>0</v>
      </c>
      <c r="K304" t="n">
        <v>0</v>
      </c>
      <c r="L304" t="n">
        <v>0</v>
      </c>
      <c r="M304" t="n">
        <v>0</v>
      </c>
      <c r="N304" t="n">
        <v>0</v>
      </c>
      <c r="O304" t="n">
        <v>0</v>
      </c>
      <c r="P304" s="7">
        <f>IF(SUM(H304:K304)=0,"",H304/SUM(H304:K304))</f>
        <v/>
      </c>
      <c r="Q304" s="7">
        <f>IF(SUM(H304:K304)=0,"",I304/SUM(H304:K304))</f>
        <v/>
      </c>
      <c r="R304" s="7">
        <f>IF(SUM(H304:K304)=0,"",J304/SUM(H304:K304))</f>
        <v/>
      </c>
      <c r="S304" s="7">
        <f>IF(SUM(H304:K304)=0,"",K304/SUM(H304:K304))</f>
        <v/>
      </c>
      <c r="T304" s="7">
        <f>IF(SUM(L304:O304)=0,"",L304/SUM(L304:O304))</f>
        <v/>
      </c>
      <c r="U304" s="7">
        <f>IF(SUM(L304:O304)=0,"",M304/SUM(L304:O304))</f>
        <v/>
      </c>
      <c r="V304" s="7">
        <f>IF(SUM(L304:O304)=0,"",N304/SUM(L304:O304))</f>
        <v/>
      </c>
      <c r="W304" s="7">
        <f>IF(SUM(L304:O304)=0,"",O304/SUM(L304:O304))</f>
        <v/>
      </c>
    </row>
    <row r="305">
      <c r="A305" t="n">
        <v>369</v>
      </c>
      <c r="B305" t="inlineStr">
        <is>
          <t>In 2021, the good times continued to roll, at least in the financial markets.</t>
        </is>
      </c>
      <c r="C305" t="n">
        <v>1</v>
      </c>
      <c r="D305" t="n">
        <v>0</v>
      </c>
      <c r="E305" t="n">
        <v>0</v>
      </c>
      <c r="F305" t="n">
        <v>0</v>
      </c>
      <c r="G305" t="b">
        <v>0</v>
      </c>
      <c r="H305" t="n">
        <v>2</v>
      </c>
      <c r="I305" t="n">
        <v>0</v>
      </c>
      <c r="J305" t="n">
        <v>0</v>
      </c>
      <c r="K305" t="n">
        <v>0</v>
      </c>
      <c r="L305" t="n">
        <v>0</v>
      </c>
      <c r="M305" t="n">
        <v>0</v>
      </c>
      <c r="N305" t="n">
        <v>0</v>
      </c>
      <c r="O305" t="n">
        <v>0</v>
      </c>
      <c r="P305" s="7">
        <f>IF(SUM(H305:K305)=0,"",H305/SUM(H305:K305))</f>
        <v/>
      </c>
      <c r="Q305" s="7">
        <f>IF(SUM(H305:K305)=0,"",I305/SUM(H305:K305))</f>
        <v/>
      </c>
      <c r="R305" s="7">
        <f>IF(SUM(H305:K305)=0,"",J305/SUM(H305:K305))</f>
        <v/>
      </c>
      <c r="S305" s="7">
        <f>IF(SUM(H305:K305)=0,"",K305/SUM(H305:K305))</f>
        <v/>
      </c>
      <c r="T305" s="7">
        <f>IF(SUM(L305:O305)=0,"",L305/SUM(L305:O305))</f>
        <v/>
      </c>
      <c r="U305" s="7">
        <f>IF(SUM(L305:O305)=0,"",M305/SUM(L305:O305))</f>
        <v/>
      </c>
      <c r="V305" s="7">
        <f>IF(SUM(L305:O305)=0,"",N305/SUM(L305:O305))</f>
        <v/>
      </c>
      <c r="W305" s="7">
        <f>IF(SUM(L305:O305)=0,"",O305/SUM(L305:O305))</f>
        <v/>
      </c>
    </row>
    <row r="306">
      <c r="A306" t="n">
        <v>370</v>
      </c>
      <c r="B306" t="inlineStr">
        <is>
          <t>This was especially true in the U.S., where the stock market rose 26.7% as measured by the Wilshire 5000 Index.</t>
        </is>
      </c>
      <c r="C306" t="n">
        <v>0</v>
      </c>
      <c r="D306" t="n">
        <v>0</v>
      </c>
      <c r="E306" t="n">
        <v>0</v>
      </c>
      <c r="F306" t="n">
        <v>0</v>
      </c>
      <c r="G306" t="b">
        <v>0</v>
      </c>
      <c r="H306" t="n">
        <v>0</v>
      </c>
      <c r="I306" t="n">
        <v>0</v>
      </c>
      <c r="J306" t="n">
        <v>0</v>
      </c>
      <c r="K306" t="n">
        <v>0</v>
      </c>
      <c r="L306" t="n">
        <v>0</v>
      </c>
      <c r="M306" t="n">
        <v>0</v>
      </c>
      <c r="N306" t="n">
        <v>0</v>
      </c>
      <c r="O306" t="n">
        <v>0</v>
      </c>
      <c r="P306" s="7">
        <f>IF(SUM(H306:K306)=0,"",H306/SUM(H306:K306))</f>
        <v/>
      </c>
      <c r="Q306" s="7">
        <f>IF(SUM(H306:K306)=0,"",I306/SUM(H306:K306))</f>
        <v/>
      </c>
      <c r="R306" s="7">
        <f>IF(SUM(H306:K306)=0,"",J306/SUM(H306:K306))</f>
        <v/>
      </c>
      <c r="S306" s="7">
        <f>IF(SUM(H306:K306)=0,"",K306/SUM(H306:K306))</f>
        <v/>
      </c>
      <c r="T306" s="7">
        <f>IF(SUM(L306:O306)=0,"",L306/SUM(L306:O306))</f>
        <v/>
      </c>
      <c r="U306" s="7">
        <f>IF(SUM(L306:O306)=0,"",M306/SUM(L306:O306))</f>
        <v/>
      </c>
      <c r="V306" s="7">
        <f>IF(SUM(L306:O306)=0,"",N306/SUM(L306:O306))</f>
        <v/>
      </c>
      <c r="W306" s="7">
        <f>IF(SUM(L306:O306)=0,"",O306/SUM(L306:O306))</f>
        <v/>
      </c>
    </row>
    <row r="307">
      <c r="A307" t="n">
        <v>371</v>
      </c>
      <c r="B307" t="inlineStr">
        <is>
          <t>International equity returns were also up, though not quite as much at 12.6%.</t>
        </is>
      </c>
      <c r="C307" t="n">
        <v>0</v>
      </c>
      <c r="D307" t="n">
        <v>0</v>
      </c>
      <c r="E307" t="n">
        <v>0</v>
      </c>
      <c r="F307" t="n">
        <v>0</v>
      </c>
      <c r="G307" t="b">
        <v>0</v>
      </c>
      <c r="H307" t="n">
        <v>0</v>
      </c>
      <c r="I307" t="n">
        <v>0</v>
      </c>
      <c r="J307" t="n">
        <v>0</v>
      </c>
      <c r="K307" t="n">
        <v>0</v>
      </c>
      <c r="L307" t="n">
        <v>0</v>
      </c>
      <c r="M307" t="n">
        <v>0</v>
      </c>
      <c r="N307" t="n">
        <v>0</v>
      </c>
      <c r="O307" t="n">
        <v>0</v>
      </c>
      <c r="P307" s="7">
        <f>IF(SUM(H307:K307)=0,"",H307/SUM(H307:K307))</f>
        <v/>
      </c>
      <c r="Q307" s="7">
        <f>IF(SUM(H307:K307)=0,"",I307/SUM(H307:K307))</f>
        <v/>
      </c>
      <c r="R307" s="7">
        <f>IF(SUM(H307:K307)=0,"",J307/SUM(H307:K307))</f>
        <v/>
      </c>
      <c r="S307" s="7">
        <f>IF(SUM(H307:K307)=0,"",K307/SUM(H307:K307))</f>
        <v/>
      </c>
      <c r="T307" s="7">
        <f>IF(SUM(L307:O307)=0,"",L307/SUM(L307:O307))</f>
        <v/>
      </c>
      <c r="U307" s="7">
        <f>IF(SUM(L307:O307)=0,"",M307/SUM(L307:O307))</f>
        <v/>
      </c>
      <c r="V307" s="7">
        <f>IF(SUM(L307:O307)=0,"",N307/SUM(L307:O307))</f>
        <v/>
      </c>
      <c r="W307" s="7">
        <f>IF(SUM(L307:O307)=0,"",O307/SUM(L307:O307))</f>
        <v/>
      </c>
    </row>
    <row r="308">
      <c r="A308" t="n">
        <v>372</v>
      </c>
      <c r="B308" t="inlineStr">
        <is>
          <t>Both markets were influenced by the persistence of the low interest rate regime that has prevailed globally since 2010, but the low absolute level of rates finally caught up the bond market.</t>
        </is>
      </c>
      <c r="C308" t="n">
        <v>0</v>
      </c>
      <c r="D308" t="n">
        <v>0</v>
      </c>
      <c r="E308" t="n">
        <v>0</v>
      </c>
      <c r="F308" t="n">
        <v>0</v>
      </c>
      <c r="G308" t="b">
        <v>0</v>
      </c>
      <c r="H308" t="n">
        <v>0</v>
      </c>
      <c r="I308" t="n">
        <v>0</v>
      </c>
      <c r="J308" t="n">
        <v>0</v>
      </c>
      <c r="K308" t="n">
        <v>0</v>
      </c>
      <c r="L308" t="n">
        <v>0</v>
      </c>
      <c r="M308" t="n">
        <v>0</v>
      </c>
      <c r="N308" t="n">
        <v>0</v>
      </c>
      <c r="O308" t="n">
        <v>0</v>
      </c>
      <c r="P308" s="7">
        <f>IF(SUM(H308:K308)=0,"",H308/SUM(H308:K308))</f>
        <v/>
      </c>
      <c r="Q308" s="7">
        <f>IF(SUM(H308:K308)=0,"",I308/SUM(H308:K308))</f>
        <v/>
      </c>
      <c r="R308" s="7">
        <f>IF(SUM(H308:K308)=0,"",J308/SUM(H308:K308))</f>
        <v/>
      </c>
      <c r="S308" s="7">
        <f>IF(SUM(H308:K308)=0,"",K308/SUM(H308:K308))</f>
        <v/>
      </c>
      <c r="T308" s="7">
        <f>IF(SUM(L308:O308)=0,"",L308/SUM(L308:O308))</f>
        <v/>
      </c>
      <c r="U308" s="7">
        <f>IF(SUM(L308:O308)=0,"",M308/SUM(L308:O308))</f>
        <v/>
      </c>
      <c r="V308" s="7">
        <f>IF(SUM(L308:O308)=0,"",N308/SUM(L308:O308))</f>
        <v/>
      </c>
      <c r="W308" s="7">
        <f>IF(SUM(L308:O308)=0,"",O308/SUM(L308:O308))</f>
        <v/>
      </c>
    </row>
    <row r="309">
      <c r="A309" t="n">
        <v>373</v>
      </c>
      <c r="B309" t="inlineStr">
        <is>
          <t>The Barclay's Aggregate Bond Index (a broad index of domestic bonds, ranging from US Treasury bonds to 'junk bonds') generated a negative 1.5% return; the index had not generated a negative return since 1999.</t>
        </is>
      </c>
      <c r="C309" t="n">
        <v>0</v>
      </c>
      <c r="D309" t="n">
        <v>0</v>
      </c>
      <c r="E309" t="n">
        <v>0</v>
      </c>
      <c r="F309" t="n">
        <v>0</v>
      </c>
      <c r="G309" t="b">
        <v>0</v>
      </c>
      <c r="H309" t="n">
        <v>0</v>
      </c>
      <c r="I309" t="n">
        <v>0</v>
      </c>
      <c r="J309" t="n">
        <v>0</v>
      </c>
      <c r="K309" t="n">
        <v>0</v>
      </c>
      <c r="L309" t="n">
        <v>0</v>
      </c>
      <c r="M309" t="n">
        <v>0</v>
      </c>
      <c r="N309" t="n">
        <v>0</v>
      </c>
      <c r="O309" t="n">
        <v>0</v>
      </c>
      <c r="P309" s="7">
        <f>IF(SUM(H309:K309)=0,"",H309/SUM(H309:K309))</f>
        <v/>
      </c>
      <c r="Q309" s="7">
        <f>IF(SUM(H309:K309)=0,"",I309/SUM(H309:K309))</f>
        <v/>
      </c>
      <c r="R309" s="7">
        <f>IF(SUM(H309:K309)=0,"",J309/SUM(H309:K309))</f>
        <v/>
      </c>
      <c r="S309" s="7">
        <f>IF(SUM(H309:K309)=0,"",K309/SUM(H309:K309))</f>
        <v/>
      </c>
      <c r="T309" s="7">
        <f>IF(SUM(L309:O309)=0,"",L309/SUM(L309:O309))</f>
        <v/>
      </c>
      <c r="U309" s="7">
        <f>IF(SUM(L309:O309)=0,"",M309/SUM(L309:O309))</f>
        <v/>
      </c>
      <c r="V309" s="7">
        <f>IF(SUM(L309:O309)=0,"",N309/SUM(L309:O309))</f>
        <v/>
      </c>
      <c r="W309" s="7">
        <f>IF(SUM(L309:O309)=0,"",O309/SUM(L309:O309))</f>
        <v/>
      </c>
    </row>
    <row r="310">
      <c r="A310" t="n">
        <v>374</v>
      </c>
      <c r="B310" t="inlineStr">
        <is>
          <t>Meanwhile international bond returns declined an astounding 8.2%.</t>
        </is>
      </c>
      <c r="C310" t="n">
        <v>0</v>
      </c>
      <c r="D310" t="n">
        <v>0</v>
      </c>
      <c r="E310" t="n">
        <v>0</v>
      </c>
      <c r="F310" t="n">
        <v>0</v>
      </c>
      <c r="G310" t="b">
        <v>0</v>
      </c>
      <c r="H310" t="n">
        <v>0</v>
      </c>
      <c r="I310" t="n">
        <v>0</v>
      </c>
      <c r="J310" t="n">
        <v>0</v>
      </c>
      <c r="K310" t="n">
        <v>0</v>
      </c>
      <c r="L310" t="n">
        <v>0</v>
      </c>
      <c r="M310" t="n">
        <v>0</v>
      </c>
      <c r="N310" t="n">
        <v>0</v>
      </c>
      <c r="O310" t="n">
        <v>0</v>
      </c>
      <c r="P310" s="7">
        <f>IF(SUM(H310:K310)=0,"",H310/SUM(H310:K310))</f>
        <v/>
      </c>
      <c r="Q310" s="7">
        <f>IF(SUM(H310:K310)=0,"",I310/SUM(H310:K310))</f>
        <v/>
      </c>
      <c r="R310" s="7">
        <f>IF(SUM(H310:K310)=0,"",J310/SUM(H310:K310))</f>
        <v/>
      </c>
      <c r="S310" s="7">
        <f>IF(SUM(H310:K310)=0,"",K310/SUM(H310:K310))</f>
        <v/>
      </c>
      <c r="T310" s="7">
        <f>IF(SUM(L310:O310)=0,"",L310/SUM(L310:O310))</f>
        <v/>
      </c>
      <c r="U310" s="7">
        <f>IF(SUM(L310:O310)=0,"",M310/SUM(L310:O310))</f>
        <v/>
      </c>
      <c r="V310" s="7">
        <f>IF(SUM(L310:O310)=0,"",N310/SUM(L310:O310))</f>
        <v/>
      </c>
      <c r="W310" s="7">
        <f>IF(SUM(L310:O310)=0,"",O310/SUM(L310:O310))</f>
        <v/>
      </c>
    </row>
    <row r="311">
      <c r="A311" t="n">
        <v>375</v>
      </c>
      <c r="B311" t="inlineStr">
        <is>
          <t>Within these strange times, [community_foundation_tag] produced a return of 15.0%, ahead of [community_foundation_tag]</t>
        </is>
      </c>
      <c r="C311" t="n">
        <v>1</v>
      </c>
      <c r="D311" t="n">
        <v>1</v>
      </c>
      <c r="E311" t="n">
        <v>0</v>
      </c>
      <c r="F311" t="n">
        <v>0</v>
      </c>
      <c r="G311" t="b">
        <v>1</v>
      </c>
      <c r="H311" t="n">
        <v>2</v>
      </c>
      <c r="I311" t="n">
        <v>0</v>
      </c>
      <c r="J311" t="n">
        <v>0</v>
      </c>
      <c r="K311" t="n">
        <v>0</v>
      </c>
      <c r="L311" t="n">
        <v>2</v>
      </c>
      <c r="M311" t="n">
        <v>1</v>
      </c>
      <c r="N311" t="n">
        <v>0</v>
      </c>
      <c r="O311" t="n">
        <v>0</v>
      </c>
      <c r="P311" s="7">
        <f>IF(SUM(H311:K311)=0,"",H311/SUM(H311:K311))</f>
        <v/>
      </c>
      <c r="Q311" s="7">
        <f>IF(SUM(H311:K311)=0,"",I311/SUM(H311:K311))</f>
        <v/>
      </c>
      <c r="R311" s="7">
        <f>IF(SUM(H311:K311)=0,"",J311/SUM(H311:K311))</f>
        <v/>
      </c>
      <c r="S311" s="7">
        <f>IF(SUM(H311:K311)=0,"",K311/SUM(H311:K311))</f>
        <v/>
      </c>
      <c r="T311" s="7">
        <f>IF(SUM(L311:O311)=0,"",L311/SUM(L311:O311))</f>
        <v/>
      </c>
      <c r="U311" s="7">
        <f>IF(SUM(L311:O311)=0,"",M311/SUM(L311:O311))</f>
        <v/>
      </c>
      <c r="V311" s="7">
        <f>IF(SUM(L311:O311)=0,"",N311/SUM(L311:O311))</f>
        <v/>
      </c>
      <c r="W311" s="7">
        <f>IF(SUM(L311:O311)=0,"",O311/SUM(L311:O311))</f>
        <v/>
      </c>
    </row>
    <row r="312">
      <c r="A312" t="n">
        <v>376</v>
      </c>
      <c r="B312" t="inlineStr">
        <is>
          <t>Blended Benchmark which is a weighted average of the market indices used to measure portfolio performance.</t>
        </is>
      </c>
      <c r="C312" t="n">
        <v>0</v>
      </c>
      <c r="D312" t="n">
        <v>0</v>
      </c>
      <c r="E312" t="n">
        <v>0</v>
      </c>
      <c r="F312" t="n">
        <v>0</v>
      </c>
      <c r="G312" t="b">
        <v>0</v>
      </c>
      <c r="H312" t="n">
        <v>0</v>
      </c>
      <c r="I312" t="n">
        <v>0</v>
      </c>
      <c r="J312" t="n">
        <v>0</v>
      </c>
      <c r="K312" t="n">
        <v>0</v>
      </c>
      <c r="L312" t="n">
        <v>0</v>
      </c>
      <c r="M312" t="n">
        <v>0</v>
      </c>
      <c r="N312" t="n">
        <v>0</v>
      </c>
      <c r="O312" t="n">
        <v>0</v>
      </c>
      <c r="P312" s="7">
        <f>IF(SUM(H312:K312)=0,"",H312/SUM(H312:K312))</f>
        <v/>
      </c>
      <c r="Q312" s="7">
        <f>IF(SUM(H312:K312)=0,"",I312/SUM(H312:K312))</f>
        <v/>
      </c>
      <c r="R312" s="7">
        <f>IF(SUM(H312:K312)=0,"",J312/SUM(H312:K312))</f>
        <v/>
      </c>
      <c r="S312" s="7">
        <f>IF(SUM(H312:K312)=0,"",K312/SUM(H312:K312))</f>
        <v/>
      </c>
      <c r="T312" s="7">
        <f>IF(SUM(L312:O312)=0,"",L312/SUM(L312:O312))</f>
        <v/>
      </c>
      <c r="U312" s="7">
        <f>IF(SUM(L312:O312)=0,"",M312/SUM(L312:O312))</f>
        <v/>
      </c>
      <c r="V312" s="7">
        <f>IF(SUM(L312:O312)=0,"",N312/SUM(L312:O312))</f>
        <v/>
      </c>
      <c r="W312" s="7">
        <f>IF(SUM(L312:O312)=0,"",O312/SUM(L312:O312))</f>
        <v/>
      </c>
    </row>
    <row r="313">
      <c r="A313" t="n">
        <v>377</v>
      </c>
      <c r="B313" t="inlineStr">
        <is>
          <t>2021 results also exceeded [community_foundation_tag] endowment spending target of 5% plus the increase in the Consumer Price Index (which clocked in at 6.7%), and outperformed the 14.7% median rate of return for all community foundations participating in the annual Council on Foundations survey.</t>
        </is>
      </c>
      <c r="C313" t="n">
        <v>1</v>
      </c>
      <c r="D313" t="n">
        <v>1</v>
      </c>
      <c r="E313" t="n">
        <v>0</v>
      </c>
      <c r="F313" t="n">
        <v>0</v>
      </c>
      <c r="G313" t="b">
        <v>1</v>
      </c>
      <c r="H313" t="n">
        <v>2</v>
      </c>
      <c r="I313" t="n">
        <v>0</v>
      </c>
      <c r="J313" t="n">
        <v>0</v>
      </c>
      <c r="K313" t="n">
        <v>0</v>
      </c>
      <c r="L313" t="n">
        <v>2</v>
      </c>
      <c r="M313" t="n">
        <v>0</v>
      </c>
      <c r="N313" t="n">
        <v>1</v>
      </c>
      <c r="O313" t="n">
        <v>0</v>
      </c>
      <c r="P313" s="7">
        <f>IF(SUM(H313:K313)=0,"",H313/SUM(H313:K313))</f>
        <v/>
      </c>
      <c r="Q313" s="7">
        <f>IF(SUM(H313:K313)=0,"",I313/SUM(H313:K313))</f>
        <v/>
      </c>
      <c r="R313" s="7">
        <f>IF(SUM(H313:K313)=0,"",J313/SUM(H313:K313))</f>
        <v/>
      </c>
      <c r="S313" s="7">
        <f>IF(SUM(H313:K313)=0,"",K313/SUM(H313:K313))</f>
        <v/>
      </c>
      <c r="T313" s="7">
        <f>IF(SUM(L313:O313)=0,"",L313/SUM(L313:O313))</f>
        <v/>
      </c>
      <c r="U313" s="7">
        <f>IF(SUM(L313:O313)=0,"",M313/SUM(L313:O313))</f>
        <v/>
      </c>
      <c r="V313" s="7">
        <f>IF(SUM(L313:O313)=0,"",N313/SUM(L313:O313))</f>
        <v/>
      </c>
      <c r="W313" s="7">
        <f>IF(SUM(L313:O313)=0,"",O313/SUM(L313:O313))</f>
        <v/>
      </c>
    </row>
    <row r="314">
      <c r="A314" t="n">
        <v>378</v>
      </c>
      <c r="B314" t="inlineStr">
        <is>
          <t>[community_foundation_tag] are pleased to report these relatively favorable results, but [community_foundation_tag] are firmly aware of the old adage, 'The year is over, what have you done for me lately?'</t>
        </is>
      </c>
      <c r="C314" t="n">
        <v>0</v>
      </c>
      <c r="D314" t="n">
        <v>1</v>
      </c>
      <c r="E314" t="n">
        <v>0</v>
      </c>
      <c r="F314" t="n">
        <v>0</v>
      </c>
      <c r="G314" t="b">
        <v>0</v>
      </c>
      <c r="H314" t="n">
        <v>0</v>
      </c>
      <c r="I314" t="n">
        <v>0</v>
      </c>
      <c r="J314" t="n">
        <v>0</v>
      </c>
      <c r="K314" t="n">
        <v>0</v>
      </c>
      <c r="L314" t="n">
        <v>2</v>
      </c>
      <c r="M314" t="n">
        <v>1</v>
      </c>
      <c r="N314" t="n">
        <v>0</v>
      </c>
      <c r="O314" t="n">
        <v>0</v>
      </c>
      <c r="P314" s="7">
        <f>IF(SUM(H314:K314)=0,"",H314/SUM(H314:K314))</f>
        <v/>
      </c>
      <c r="Q314" s="7">
        <f>IF(SUM(H314:K314)=0,"",I314/SUM(H314:K314))</f>
        <v/>
      </c>
      <c r="R314" s="7">
        <f>IF(SUM(H314:K314)=0,"",J314/SUM(H314:K314))</f>
        <v/>
      </c>
      <c r="S314" s="7">
        <f>IF(SUM(H314:K314)=0,"",K314/SUM(H314:K314))</f>
        <v/>
      </c>
      <c r="T314" s="7">
        <f>IF(SUM(L314:O314)=0,"",L314/SUM(L314:O314))</f>
        <v/>
      </c>
      <c r="U314" s="7">
        <f>IF(SUM(L314:O314)=0,"",M314/SUM(L314:O314))</f>
        <v/>
      </c>
      <c r="V314" s="7">
        <f>IF(SUM(L314:O314)=0,"",N314/SUM(L314:O314))</f>
        <v/>
      </c>
      <c r="W314" s="7">
        <f>IF(SUM(L314:O314)=0,"",O314/SUM(L314:O314))</f>
        <v/>
      </c>
    </row>
    <row r="315">
      <c r="A315" t="n">
        <v>379</v>
      </c>
      <c r="B315" t="inlineStr">
        <is>
          <t>Wilshire 5000 Index, 2021</t>
        </is>
      </c>
      <c r="C315" t="n">
        <v>0</v>
      </c>
      <c r="D315" t="n">
        <v>0</v>
      </c>
      <c r="E315" t="n">
        <v>0</v>
      </c>
      <c r="F315" t="n">
        <v>0</v>
      </c>
      <c r="G315" t="b">
        <v>0</v>
      </c>
      <c r="H315" t="n">
        <v>0</v>
      </c>
      <c r="I315" t="n">
        <v>0</v>
      </c>
      <c r="J315" t="n">
        <v>0</v>
      </c>
      <c r="K315" t="n">
        <v>0</v>
      </c>
      <c r="L315" t="n">
        <v>0</v>
      </c>
      <c r="M315" t="n">
        <v>0</v>
      </c>
      <c r="N315" t="n">
        <v>0</v>
      </c>
      <c r="O315" t="n">
        <v>0</v>
      </c>
      <c r="P315" s="7">
        <f>IF(SUM(H315:K315)=0,"",H315/SUM(H315:K315))</f>
        <v/>
      </c>
      <c r="Q315" s="7">
        <f>IF(SUM(H315:K315)=0,"",I315/SUM(H315:K315))</f>
        <v/>
      </c>
      <c r="R315" s="7">
        <f>IF(SUM(H315:K315)=0,"",J315/SUM(H315:K315))</f>
        <v/>
      </c>
      <c r="S315" s="7">
        <f>IF(SUM(H315:K315)=0,"",K315/SUM(H315:K315))</f>
        <v/>
      </c>
      <c r="T315" s="7">
        <f>IF(SUM(L315:O315)=0,"",L315/SUM(L315:O315))</f>
        <v/>
      </c>
      <c r="U315" s="7">
        <f>IF(SUM(L315:O315)=0,"",M315/SUM(L315:O315))</f>
        <v/>
      </c>
      <c r="V315" s="7">
        <f>IF(SUM(L315:O315)=0,"",N315/SUM(L315:O315))</f>
        <v/>
      </c>
      <c r="W315" s="7">
        <f>IF(SUM(L315:O315)=0,"",O315/SUM(L315:O315))</f>
        <v/>
      </c>
    </row>
    <row r="316">
      <c r="A316" t="n">
        <v>380</v>
      </c>
      <c r="B316" t="inlineStr">
        <is>
          <t>2021 investment results continued</t>
        </is>
      </c>
      <c r="C316" t="n">
        <v>0</v>
      </c>
      <c r="D316" t="n">
        <v>0</v>
      </c>
      <c r="E316" t="n">
        <v>0</v>
      </c>
      <c r="F316" t="n">
        <v>0</v>
      </c>
      <c r="G316" t="b">
        <v>0</v>
      </c>
      <c r="H316" t="n">
        <v>0</v>
      </c>
      <c r="I316" t="n">
        <v>0</v>
      </c>
      <c r="J316" t="n">
        <v>0</v>
      </c>
      <c r="K316" t="n">
        <v>0</v>
      </c>
      <c r="L316" t="n">
        <v>0</v>
      </c>
      <c r="M316" t="n">
        <v>0</v>
      </c>
      <c r="N316" t="n">
        <v>0</v>
      </c>
      <c r="O316" t="n">
        <v>0</v>
      </c>
      <c r="P316" s="7">
        <f>IF(SUM(H316:K316)=0,"",H316/SUM(H316:K316))</f>
        <v/>
      </c>
      <c r="Q316" s="7">
        <f>IF(SUM(H316:K316)=0,"",I316/SUM(H316:K316))</f>
        <v/>
      </c>
      <c r="R316" s="7">
        <f>IF(SUM(H316:K316)=0,"",J316/SUM(H316:K316))</f>
        <v/>
      </c>
      <c r="S316" s="7">
        <f>IF(SUM(H316:K316)=0,"",K316/SUM(H316:K316))</f>
        <v/>
      </c>
      <c r="T316" s="7">
        <f>IF(SUM(L316:O316)=0,"",L316/SUM(L316:O316))</f>
        <v/>
      </c>
      <c r="U316" s="7">
        <f>IF(SUM(L316:O316)=0,"",M316/SUM(L316:O316))</f>
        <v/>
      </c>
      <c r="V316" s="7">
        <f>IF(SUM(L316:O316)=0,"",N316/SUM(L316:O316))</f>
        <v/>
      </c>
      <c r="W316" s="7">
        <f>IF(SUM(L316:O316)=0,"",O316/SUM(L316:O316))</f>
        <v/>
      </c>
    </row>
    <row r="317">
      <c r="A317" t="n">
        <v>381</v>
      </c>
      <c r="B317" t="inlineStr">
        <is>
          <t>*[community_foundation_tag]'s Blended Benchmark Index is a weighted average of the market indices used to measure portfolio performance.</t>
        </is>
      </c>
      <c r="C317" t="n">
        <v>0</v>
      </c>
      <c r="D317" t="n">
        <v>1</v>
      </c>
      <c r="E317" t="n">
        <v>0</v>
      </c>
      <c r="F317" t="n">
        <v>0</v>
      </c>
      <c r="G317" t="b">
        <v>0</v>
      </c>
      <c r="H317" t="n">
        <v>0</v>
      </c>
      <c r="I317" t="n">
        <v>0</v>
      </c>
      <c r="J317" t="n">
        <v>0</v>
      </c>
      <c r="K317" t="n">
        <v>0</v>
      </c>
      <c r="L317" t="n">
        <v>2</v>
      </c>
      <c r="M317" t="n">
        <v>1</v>
      </c>
      <c r="N317" t="n">
        <v>0</v>
      </c>
      <c r="O317" t="n">
        <v>0</v>
      </c>
      <c r="P317" s="7">
        <f>IF(SUM(H317:K317)=0,"",H317/SUM(H317:K317))</f>
        <v/>
      </c>
      <c r="Q317" s="7">
        <f>IF(SUM(H317:K317)=0,"",I317/SUM(H317:K317))</f>
        <v/>
      </c>
      <c r="R317" s="7">
        <f>IF(SUM(H317:K317)=0,"",J317/SUM(H317:K317))</f>
        <v/>
      </c>
      <c r="S317" s="7">
        <f>IF(SUM(H317:K317)=0,"",K317/SUM(H317:K317))</f>
        <v/>
      </c>
      <c r="T317" s="7">
        <f>IF(SUM(L317:O317)=0,"",L317/SUM(L317:O317))</f>
        <v/>
      </c>
      <c r="U317" s="7">
        <f>IF(SUM(L317:O317)=0,"",M317/SUM(L317:O317))</f>
        <v/>
      </c>
      <c r="V317" s="7">
        <f>IF(SUM(L317:O317)=0,"",N317/SUM(L317:O317))</f>
        <v/>
      </c>
      <c r="W317" s="7">
        <f>IF(SUM(L317:O317)=0,"",O317/SUM(L317:O317))</f>
        <v/>
      </c>
    </row>
    <row r="318">
      <c r="A318" t="n">
        <v>382</v>
      </c>
      <c r="B318" t="inlineStr">
        <is>
          <t>2021 investment results continued</t>
        </is>
      </c>
      <c r="C318" t="n">
        <v>0</v>
      </c>
      <c r="D318" t="n">
        <v>0</v>
      </c>
      <c r="E318" t="n">
        <v>0</v>
      </c>
      <c r="F318" t="n">
        <v>0</v>
      </c>
      <c r="G318" t="b">
        <v>0</v>
      </c>
      <c r="H318" t="n">
        <v>0</v>
      </c>
      <c r="I318" t="n">
        <v>0</v>
      </c>
      <c r="J318" t="n">
        <v>0</v>
      </c>
      <c r="K318" t="n">
        <v>0</v>
      </c>
      <c r="L318" t="n">
        <v>0</v>
      </c>
      <c r="M318" t="n">
        <v>0</v>
      </c>
      <c r="N318" t="n">
        <v>0</v>
      </c>
      <c r="O318" t="n">
        <v>0</v>
      </c>
      <c r="P318" s="7">
        <f>IF(SUM(H318:K318)=0,"",H318/SUM(H318:K318))</f>
        <v/>
      </c>
      <c r="Q318" s="7">
        <f>IF(SUM(H318:K318)=0,"",I318/SUM(H318:K318))</f>
        <v/>
      </c>
      <c r="R318" s="7">
        <f>IF(SUM(H318:K318)=0,"",J318/SUM(H318:K318))</f>
        <v/>
      </c>
      <c r="S318" s="7">
        <f>IF(SUM(H318:K318)=0,"",K318/SUM(H318:K318))</f>
        <v/>
      </c>
      <c r="T318" s="7">
        <f>IF(SUM(L318:O318)=0,"",L318/SUM(L318:O318))</f>
        <v/>
      </c>
      <c r="U318" s="7">
        <f>IF(SUM(L318:O318)=0,"",M318/SUM(L318:O318))</f>
        <v/>
      </c>
      <c r="V318" s="7">
        <f>IF(SUM(L318:O318)=0,"",N318/SUM(L318:O318))</f>
        <v/>
      </c>
      <c r="W318" s="7">
        <f>IF(SUM(L318:O318)=0,"",O318/SUM(L318:O318))</f>
        <v/>
      </c>
    </row>
    <row r="319">
      <c r="A319" t="n">
        <v>383</v>
      </c>
      <c r="B319" t="inlineStr">
        <is>
          <t>131 funds participate in [community_foundation_tag]'s $36.9 million investment portfolio.</t>
        </is>
      </c>
      <c r="C319" t="n">
        <v>1</v>
      </c>
      <c r="D319" t="n">
        <v>1</v>
      </c>
      <c r="E319" t="n">
        <v>0</v>
      </c>
      <c r="F319" t="n">
        <v>0</v>
      </c>
      <c r="G319" t="b">
        <v>1</v>
      </c>
      <c r="H319" t="n">
        <v>2</v>
      </c>
      <c r="I319" t="n">
        <v>0</v>
      </c>
      <c r="J319" t="n">
        <v>0</v>
      </c>
      <c r="K319" t="n">
        <v>0</v>
      </c>
      <c r="L319" t="n">
        <v>2</v>
      </c>
      <c r="M319" t="n">
        <v>1</v>
      </c>
      <c r="N319" t="n">
        <v>0</v>
      </c>
      <c r="O319" t="n">
        <v>0</v>
      </c>
      <c r="P319" s="7">
        <f>IF(SUM(H319:K319)=0,"",H319/SUM(H319:K319))</f>
        <v/>
      </c>
      <c r="Q319" s="7">
        <f>IF(SUM(H319:K319)=0,"",I319/SUM(H319:K319))</f>
        <v/>
      </c>
      <c r="R319" s="7">
        <f>IF(SUM(H319:K319)=0,"",J319/SUM(H319:K319))</f>
        <v/>
      </c>
      <c r="S319" s="7">
        <f>IF(SUM(H319:K319)=0,"",K319/SUM(H319:K319))</f>
        <v/>
      </c>
      <c r="T319" s="7">
        <f>IF(SUM(L319:O319)=0,"",L319/SUM(L319:O319))</f>
        <v/>
      </c>
      <c r="U319" s="7">
        <f>IF(SUM(L319:O319)=0,"",M319/SUM(L319:O319))</f>
        <v/>
      </c>
      <c r="V319" s="7">
        <f>IF(SUM(L319:O319)=0,"",N319/SUM(L319:O319))</f>
        <v/>
      </c>
      <c r="W319" s="7">
        <f>IF(SUM(L319:O319)=0,"",O319/SUM(L319:O319))</f>
        <v/>
      </c>
    </row>
    <row r="320">
      <c r="A320" t="n">
        <v>384</v>
      </c>
      <c r="B320" t="inlineStr">
        <is>
          <t>2022 investment outlook</t>
        </is>
      </c>
      <c r="C320" t="n">
        <v>1</v>
      </c>
      <c r="D320" t="n">
        <v>0</v>
      </c>
      <c r="E320" t="n">
        <v>0</v>
      </c>
      <c r="F320" t="n">
        <v>0</v>
      </c>
      <c r="G320" t="b">
        <v>0</v>
      </c>
      <c r="H320" t="n">
        <v>2</v>
      </c>
      <c r="I320" t="n">
        <v>0</v>
      </c>
      <c r="J320" t="n">
        <v>0</v>
      </c>
      <c r="K320" t="n">
        <v>0</v>
      </c>
      <c r="L320" t="n">
        <v>0</v>
      </c>
      <c r="M320" t="n">
        <v>0</v>
      </c>
      <c r="N320" t="n">
        <v>0</v>
      </c>
      <c r="O320" t="n">
        <v>0</v>
      </c>
      <c r="P320" s="7">
        <f>IF(SUM(H320:K320)=0,"",H320/SUM(H320:K320))</f>
        <v/>
      </c>
      <c r="Q320" s="7">
        <f>IF(SUM(H320:K320)=0,"",I320/SUM(H320:K320))</f>
        <v/>
      </c>
      <c r="R320" s="7">
        <f>IF(SUM(H320:K320)=0,"",J320/SUM(H320:K320))</f>
        <v/>
      </c>
      <c r="S320" s="7">
        <f>IF(SUM(H320:K320)=0,"",K320/SUM(H320:K320))</f>
        <v/>
      </c>
      <c r="T320" s="7">
        <f>IF(SUM(L320:O320)=0,"",L320/SUM(L320:O320))</f>
        <v/>
      </c>
      <c r="U320" s="7">
        <f>IF(SUM(L320:O320)=0,"",M320/SUM(L320:O320))</f>
        <v/>
      </c>
      <c r="V320" s="7">
        <f>IF(SUM(L320:O320)=0,"",N320/SUM(L320:O320))</f>
        <v/>
      </c>
      <c r="W320" s="7">
        <f>IF(SUM(L320:O320)=0,"",O320/SUM(L320:O320))</f>
        <v/>
      </c>
    </row>
    <row r="321">
      <c r="A321" t="n">
        <v>385</v>
      </c>
      <c r="B321" t="inlineStr">
        <is>
          <t>Gauging by the results of the financial markets in the first five months of the new year, 2022 is not likely to be a year for stellar returns.</t>
        </is>
      </c>
      <c r="C321" t="n">
        <v>0</v>
      </c>
      <c r="D321" t="n">
        <v>0</v>
      </c>
      <c r="E321" t="n">
        <v>0</v>
      </c>
      <c r="F321" t="n">
        <v>0</v>
      </c>
      <c r="G321" t="b">
        <v>0</v>
      </c>
      <c r="H321" t="n">
        <v>0</v>
      </c>
      <c r="I321" t="n">
        <v>0</v>
      </c>
      <c r="J321" t="n">
        <v>0</v>
      </c>
      <c r="K321" t="n">
        <v>0</v>
      </c>
      <c r="L321" t="n">
        <v>0</v>
      </c>
      <c r="M321" t="n">
        <v>0</v>
      </c>
      <c r="N321" t="n">
        <v>0</v>
      </c>
      <c r="O321" t="n">
        <v>0</v>
      </c>
      <c r="P321" s="7">
        <f>IF(SUM(H321:K321)=0,"",H321/SUM(H321:K321))</f>
        <v/>
      </c>
      <c r="Q321" s="7">
        <f>IF(SUM(H321:K321)=0,"",I321/SUM(H321:K321))</f>
        <v/>
      </c>
      <c r="R321" s="7">
        <f>IF(SUM(H321:K321)=0,"",J321/SUM(H321:K321))</f>
        <v/>
      </c>
      <c r="S321" s="7">
        <f>IF(SUM(H321:K321)=0,"",K321/SUM(H321:K321))</f>
        <v/>
      </c>
      <c r="T321" s="7">
        <f>IF(SUM(L321:O321)=0,"",L321/SUM(L321:O321))</f>
        <v/>
      </c>
      <c r="U321" s="7">
        <f>IF(SUM(L321:O321)=0,"",M321/SUM(L321:O321))</f>
        <v/>
      </c>
      <c r="V321" s="7">
        <f>IF(SUM(L321:O321)=0,"",N321/SUM(L321:O321))</f>
        <v/>
      </c>
      <c r="W321" s="7">
        <f>IF(SUM(L321:O321)=0,"",O321/SUM(L321:O321))</f>
        <v/>
      </c>
    </row>
    <row r="322">
      <c r="A322" t="n">
        <v>386</v>
      </c>
      <c r="B322" t="inlineStr">
        <is>
          <t>Just as there are periods to make money, there are times in which the backdrop is not favorable and taking care to hunker down and ride out the storm is the most prudent course of action.</t>
        </is>
      </c>
      <c r="C322" t="n">
        <v>1</v>
      </c>
      <c r="D322" t="n">
        <v>0</v>
      </c>
      <c r="E322" t="n">
        <v>0</v>
      </c>
      <c r="F322" t="n">
        <v>0</v>
      </c>
      <c r="G322" t="b">
        <v>0</v>
      </c>
      <c r="H322" t="n">
        <v>2</v>
      </c>
      <c r="I322" t="n">
        <v>0</v>
      </c>
      <c r="J322" t="n">
        <v>0</v>
      </c>
      <c r="K322" t="n">
        <v>0</v>
      </c>
      <c r="L322" t="n">
        <v>0</v>
      </c>
      <c r="M322" t="n">
        <v>0</v>
      </c>
      <c r="N322" t="n">
        <v>0</v>
      </c>
      <c r="O322" t="n">
        <v>0</v>
      </c>
      <c r="P322" s="7">
        <f>IF(SUM(H322:K322)=0,"",H322/SUM(H322:K322))</f>
        <v/>
      </c>
      <c r="Q322" s="7">
        <f>IF(SUM(H322:K322)=0,"",I322/SUM(H322:K322))</f>
        <v/>
      </c>
      <c r="R322" s="7">
        <f>IF(SUM(H322:K322)=0,"",J322/SUM(H322:K322))</f>
        <v/>
      </c>
      <c r="S322" s="7">
        <f>IF(SUM(H322:K322)=0,"",K322/SUM(H322:K322))</f>
        <v/>
      </c>
      <c r="T322" s="7">
        <f>IF(SUM(L322:O322)=0,"",L322/SUM(L322:O322))</f>
        <v/>
      </c>
      <c r="U322" s="7">
        <f>IF(SUM(L322:O322)=0,"",M322/SUM(L322:O322))</f>
        <v/>
      </c>
      <c r="V322" s="7">
        <f>IF(SUM(L322:O322)=0,"",N322/SUM(L322:O322))</f>
        <v/>
      </c>
      <c r="W322" s="7">
        <f>IF(SUM(L322:O322)=0,"",O322/SUM(L322:O322))</f>
        <v/>
      </c>
    </row>
    <row r="323">
      <c r="A323" t="n">
        <v>387</v>
      </c>
      <c r="B323" t="inlineStr">
        <is>
          <t>Normally, this would suggest a widely diversified portfolio, as one segment or another of the broad financial markets may perform well, even if most segments are not.</t>
        </is>
      </c>
      <c r="C323" t="n">
        <v>0</v>
      </c>
      <c r="D323" t="n">
        <v>0</v>
      </c>
      <c r="E323" t="n">
        <v>0</v>
      </c>
      <c r="F323" t="n">
        <v>0</v>
      </c>
      <c r="G323" t="b">
        <v>0</v>
      </c>
      <c r="H323" t="n">
        <v>0</v>
      </c>
      <c r="I323" t="n">
        <v>0</v>
      </c>
      <c r="J323" t="n">
        <v>0</v>
      </c>
      <c r="K323" t="n">
        <v>0</v>
      </c>
      <c r="L323" t="n">
        <v>0</v>
      </c>
      <c r="M323" t="n">
        <v>0</v>
      </c>
      <c r="N323" t="n">
        <v>0</v>
      </c>
      <c r="O323" t="n">
        <v>0</v>
      </c>
      <c r="P323" s="7">
        <f>IF(SUM(H323:K323)=0,"",H323/SUM(H323:K323))</f>
        <v/>
      </c>
      <c r="Q323" s="7">
        <f>IF(SUM(H323:K323)=0,"",I323/SUM(H323:K323))</f>
        <v/>
      </c>
      <c r="R323" s="7">
        <f>IF(SUM(H323:K323)=0,"",J323/SUM(H323:K323))</f>
        <v/>
      </c>
      <c r="S323" s="7">
        <f>IF(SUM(H323:K323)=0,"",K323/SUM(H323:K323))</f>
        <v/>
      </c>
      <c r="T323" s="7">
        <f>IF(SUM(L323:O323)=0,"",L323/SUM(L323:O323))</f>
        <v/>
      </c>
      <c r="U323" s="7">
        <f>IF(SUM(L323:O323)=0,"",M323/SUM(L323:O323))</f>
        <v/>
      </c>
      <c r="V323" s="7">
        <f>IF(SUM(L323:O323)=0,"",N323/SUM(L323:O323))</f>
        <v/>
      </c>
      <c r="W323" s="7">
        <f>IF(SUM(L323:O323)=0,"",O323/SUM(L323:O323))</f>
        <v/>
      </c>
    </row>
    <row r="324">
      <c r="A324" t="n">
        <v>388</v>
      </c>
      <c r="B324" t="inlineStr">
        <is>
          <t>In this case, however, [community_foundation_tag] note that bonds are continuing to perform poorly as interest rates rise, and stocks are finally taking note of interest rate increases and inflation.</t>
        </is>
      </c>
      <c r="C324" t="n">
        <v>1</v>
      </c>
      <c r="D324" t="n">
        <v>1</v>
      </c>
      <c r="E324" t="n">
        <v>0</v>
      </c>
      <c r="F324" t="n">
        <v>0</v>
      </c>
      <c r="G324" t="b">
        <v>1</v>
      </c>
      <c r="H324" t="n">
        <v>2</v>
      </c>
      <c r="I324" t="n">
        <v>0</v>
      </c>
      <c r="J324" t="n">
        <v>0</v>
      </c>
      <c r="K324" t="n">
        <v>0</v>
      </c>
      <c r="L324" t="n">
        <v>2</v>
      </c>
      <c r="M324" t="n">
        <v>1</v>
      </c>
      <c r="N324" t="n">
        <v>0</v>
      </c>
      <c r="O324" t="n">
        <v>0</v>
      </c>
      <c r="P324" s="7">
        <f>IF(SUM(H324:K324)=0,"",H324/SUM(H324:K324))</f>
        <v/>
      </c>
      <c r="Q324" s="7">
        <f>IF(SUM(H324:K324)=0,"",I324/SUM(H324:K324))</f>
        <v/>
      </c>
      <c r="R324" s="7">
        <f>IF(SUM(H324:K324)=0,"",J324/SUM(H324:K324))</f>
        <v/>
      </c>
      <c r="S324" s="7">
        <f>IF(SUM(H324:K324)=0,"",K324/SUM(H324:K324))</f>
        <v/>
      </c>
      <c r="T324" s="7">
        <f>IF(SUM(L324:O324)=0,"",L324/SUM(L324:O324))</f>
        <v/>
      </c>
      <c r="U324" s="7">
        <f>IF(SUM(L324:O324)=0,"",M324/SUM(L324:O324))</f>
        <v/>
      </c>
      <c r="V324" s="7">
        <f>IF(SUM(L324:O324)=0,"",N324/SUM(L324:O324))</f>
        <v/>
      </c>
      <c r="W324" s="7">
        <f>IF(SUM(L324:O324)=0,"",O324/SUM(L324:O324))</f>
        <v/>
      </c>
    </row>
    <row r="325">
      <c r="A325" t="n">
        <v>389</v>
      </c>
      <c r="B325" t="inlineStr">
        <is>
          <t>It is fairly easy to envision success for any investment security or theme when interest rates are zero.</t>
        </is>
      </c>
      <c r="C325" t="n">
        <v>0</v>
      </c>
      <c r="D325" t="n">
        <v>0</v>
      </c>
      <c r="E325" t="n">
        <v>0</v>
      </c>
      <c r="F325" t="n">
        <v>0</v>
      </c>
      <c r="G325" t="b">
        <v>0</v>
      </c>
      <c r="H325" t="n">
        <v>0</v>
      </c>
      <c r="I325" t="n">
        <v>0</v>
      </c>
      <c r="J325" t="n">
        <v>0</v>
      </c>
      <c r="K325" t="n">
        <v>0</v>
      </c>
      <c r="L325" t="n">
        <v>0</v>
      </c>
      <c r="M325" t="n">
        <v>0</v>
      </c>
      <c r="N325" t="n">
        <v>0</v>
      </c>
      <c r="O325" t="n">
        <v>0</v>
      </c>
      <c r="P325" s="7">
        <f>IF(SUM(H325:K325)=0,"",H325/SUM(H325:K325))</f>
        <v/>
      </c>
      <c r="Q325" s="7">
        <f>IF(SUM(H325:K325)=0,"",I325/SUM(H325:K325))</f>
        <v/>
      </c>
      <c r="R325" s="7">
        <f>IF(SUM(H325:K325)=0,"",J325/SUM(H325:K325))</f>
        <v/>
      </c>
      <c r="S325" s="7">
        <f>IF(SUM(H325:K325)=0,"",K325/SUM(H325:K325))</f>
        <v/>
      </c>
      <c r="T325" s="7">
        <f>IF(SUM(L325:O325)=0,"",L325/SUM(L325:O325))</f>
        <v/>
      </c>
      <c r="U325" s="7">
        <f>IF(SUM(L325:O325)=0,"",M325/SUM(L325:O325))</f>
        <v/>
      </c>
      <c r="V325" s="7">
        <f>IF(SUM(L325:O325)=0,"",N325/SUM(L325:O325))</f>
        <v/>
      </c>
      <c r="W325" s="7">
        <f>IF(SUM(L325:O325)=0,"",O325/SUM(L325:O325))</f>
        <v/>
      </c>
    </row>
    <row r="326">
      <c r="A326" t="n">
        <v>390</v>
      </c>
      <c r="B326" t="inlineStr">
        <is>
          <t>It becomes quite another matter to justify dubious business plans or high risk companies as rates move up.</t>
        </is>
      </c>
      <c r="C326" t="n">
        <v>1</v>
      </c>
      <c r="D326" t="n">
        <v>0</v>
      </c>
      <c r="E326" t="n">
        <v>0</v>
      </c>
      <c r="F326" t="n">
        <v>0</v>
      </c>
      <c r="G326" t="b">
        <v>0</v>
      </c>
      <c r="H326" t="n">
        <v>2</v>
      </c>
      <c r="I326" t="n">
        <v>0</v>
      </c>
      <c r="J326" t="n">
        <v>0</v>
      </c>
      <c r="K326" t="n">
        <v>0</v>
      </c>
      <c r="L326" t="n">
        <v>0</v>
      </c>
      <c r="M326" t="n">
        <v>0</v>
      </c>
      <c r="N326" t="n">
        <v>0</v>
      </c>
      <c r="O326" t="n">
        <v>0</v>
      </c>
      <c r="P326" s="7">
        <f>IF(SUM(H326:K326)=0,"",H326/SUM(H326:K326))</f>
        <v/>
      </c>
      <c r="Q326" s="7">
        <f>IF(SUM(H326:K326)=0,"",I326/SUM(H326:K326))</f>
        <v/>
      </c>
      <c r="R326" s="7">
        <f>IF(SUM(H326:K326)=0,"",J326/SUM(H326:K326))</f>
        <v/>
      </c>
      <c r="S326" s="7">
        <f>IF(SUM(H326:K326)=0,"",K326/SUM(H326:K326))</f>
        <v/>
      </c>
      <c r="T326" s="7">
        <f>IF(SUM(L326:O326)=0,"",L326/SUM(L326:O326))</f>
        <v/>
      </c>
      <c r="U326" s="7">
        <f>IF(SUM(L326:O326)=0,"",M326/SUM(L326:O326))</f>
        <v/>
      </c>
      <c r="V326" s="7">
        <f>IF(SUM(L326:O326)=0,"",N326/SUM(L326:O326))</f>
        <v/>
      </c>
      <c r="W326" s="7">
        <f>IF(SUM(L326:O326)=0,"",O326/SUM(L326:O326))</f>
        <v/>
      </c>
    </row>
    <row r="327">
      <c r="A327" t="n">
        <v>391</v>
      </c>
      <c r="B327" t="inlineStr">
        <is>
          <t>Right now, in the thick of summer, [community_foundation_tag]'s portfolio is widely diversified, as befits a portfolio built for the long term. In the areas where [community_foundation_tag] has actively managed holdings, [community_foundation_tag] are working with managers whose solid approaches to investing both align with [community_foundation_tag] values and [community_foundation_tag] investment sensibilities.</t>
        </is>
      </c>
      <c r="C327" t="n">
        <v>1</v>
      </c>
      <c r="D327" t="n">
        <v>1</v>
      </c>
      <c r="E327" t="n">
        <v>0</v>
      </c>
      <c r="F327" t="n">
        <v>0</v>
      </c>
      <c r="G327" t="b">
        <v>1</v>
      </c>
      <c r="H327" t="n">
        <v>2</v>
      </c>
      <c r="I327" t="n">
        <v>0</v>
      </c>
      <c r="J327" t="n">
        <v>0</v>
      </c>
      <c r="K327" t="n">
        <v>0</v>
      </c>
      <c r="L327" t="n">
        <v>2</v>
      </c>
      <c r="M327" t="n">
        <v>0</v>
      </c>
      <c r="N327" t="n">
        <v>1</v>
      </c>
      <c r="O327" t="n">
        <v>0</v>
      </c>
      <c r="P327" s="7">
        <f>IF(SUM(H327:K327)=0,"",H327/SUM(H327:K327))</f>
        <v/>
      </c>
      <c r="Q327" s="7">
        <f>IF(SUM(H327:K327)=0,"",I327/SUM(H327:K327))</f>
        <v/>
      </c>
      <c r="R327" s="7">
        <f>IF(SUM(H327:K327)=0,"",J327/SUM(H327:K327))</f>
        <v/>
      </c>
      <c r="S327" s="7">
        <f>IF(SUM(H327:K327)=0,"",K327/SUM(H327:K327))</f>
        <v/>
      </c>
      <c r="T327" s="7">
        <f>IF(SUM(L327:O327)=0,"",L327/SUM(L327:O327))</f>
        <v/>
      </c>
      <c r="U327" s="7">
        <f>IF(SUM(L327:O327)=0,"",M327/SUM(L327:O327))</f>
        <v/>
      </c>
      <c r="V327" s="7">
        <f>IF(SUM(L327:O327)=0,"",N327/SUM(L327:O327))</f>
        <v/>
      </c>
      <c r="W327" s="7">
        <f>IF(SUM(L327:O327)=0,"",O327/SUM(L327:O327))</f>
        <v/>
      </c>
    </row>
    <row r="328">
      <c r="A328" t="n">
        <v>392</v>
      </c>
      <c r="B328" t="inlineStr">
        <is>
          <t>Riding out a storm is never pleasant, but the aftermath also brings clearing skies.</t>
        </is>
      </c>
      <c r="C328" t="n">
        <v>1</v>
      </c>
      <c r="D328" t="n">
        <v>0</v>
      </c>
      <c r="E328" t="n">
        <v>0</v>
      </c>
      <c r="F328" t="n">
        <v>0</v>
      </c>
      <c r="G328" t="b">
        <v>0</v>
      </c>
      <c r="H328" t="n">
        <v>2</v>
      </c>
      <c r="I328" t="n">
        <v>0</v>
      </c>
      <c r="J328" t="n">
        <v>0</v>
      </c>
      <c r="K328" t="n">
        <v>0</v>
      </c>
      <c r="L328" t="n">
        <v>0</v>
      </c>
      <c r="M328" t="n">
        <v>0</v>
      </c>
      <c r="N328" t="n">
        <v>0</v>
      </c>
      <c r="O328" t="n">
        <v>0</v>
      </c>
      <c r="P328" s="7">
        <f>IF(SUM(H328:K328)=0,"",H328/SUM(H328:K328))</f>
        <v/>
      </c>
      <c r="Q328" s="7">
        <f>IF(SUM(H328:K328)=0,"",I328/SUM(H328:K328))</f>
        <v/>
      </c>
      <c r="R328" s="7">
        <f>IF(SUM(H328:K328)=0,"",J328/SUM(H328:K328))</f>
        <v/>
      </c>
      <c r="S328" s="7">
        <f>IF(SUM(H328:K328)=0,"",K328/SUM(H328:K328))</f>
        <v/>
      </c>
      <c r="T328" s="7">
        <f>IF(SUM(L328:O328)=0,"",L328/SUM(L328:O328))</f>
        <v/>
      </c>
      <c r="U328" s="7">
        <f>IF(SUM(L328:O328)=0,"",M328/SUM(L328:O328))</f>
        <v/>
      </c>
      <c r="V328" s="7">
        <f>IF(SUM(L328:O328)=0,"",N328/SUM(L328:O328))</f>
        <v/>
      </c>
      <c r="W328" s="7">
        <f>IF(SUM(L328:O328)=0,"",O328/SUM(L328:O328))</f>
        <v/>
      </c>
    </row>
    <row r="329">
      <c r="A329" t="n">
        <v>393</v>
      </c>
      <c r="B329" t="inlineStr">
        <is>
          <t>2021 financial review</t>
        </is>
      </c>
      <c r="C329" t="n">
        <v>1</v>
      </c>
      <c r="D329" t="n">
        <v>0</v>
      </c>
      <c r="E329" t="n">
        <v>0</v>
      </c>
      <c r="F329" t="n">
        <v>0</v>
      </c>
      <c r="G329" t="b">
        <v>0</v>
      </c>
      <c r="H329" t="n">
        <v>2</v>
      </c>
      <c r="I329" t="n">
        <v>0</v>
      </c>
      <c r="J329" t="n">
        <v>0</v>
      </c>
      <c r="K329" t="n">
        <v>0</v>
      </c>
      <c r="L329" t="n">
        <v>0</v>
      </c>
      <c r="M329" t="n">
        <v>0</v>
      </c>
      <c r="N329" t="n">
        <v>0</v>
      </c>
      <c r="O329" t="n">
        <v>0</v>
      </c>
      <c r="P329" s="7">
        <f>IF(SUM(H329:K329)=0,"",H329/SUM(H329:K329))</f>
        <v/>
      </c>
      <c r="Q329" s="7">
        <f>IF(SUM(H329:K329)=0,"",I329/SUM(H329:K329))</f>
        <v/>
      </c>
      <c r="R329" s="7">
        <f>IF(SUM(H329:K329)=0,"",J329/SUM(H329:K329))</f>
        <v/>
      </c>
      <c r="S329" s="7">
        <f>IF(SUM(H329:K329)=0,"",K329/SUM(H329:K329))</f>
        <v/>
      </c>
      <c r="T329" s="7">
        <f>IF(SUM(L329:O329)=0,"",L329/SUM(L329:O329))</f>
        <v/>
      </c>
      <c r="U329" s="7">
        <f>IF(SUM(L329:O329)=0,"",M329/SUM(L329:O329))</f>
        <v/>
      </c>
      <c r="V329" s="7">
        <f>IF(SUM(L329:O329)=0,"",N329/SUM(L329:O329))</f>
        <v/>
      </c>
      <c r="W329" s="7">
        <f>IF(SUM(L329:O329)=0,"",O329/SUM(L329:O329))</f>
        <v/>
      </c>
    </row>
    <row r="330">
      <c r="A330" t="n">
        <v>394</v>
      </c>
      <c r="B330" t="inlineStr">
        <is>
          <t>[community_foundation_tag]'s financial results for 2021 align with the transitional nature of the year for [community_foundation_tag] and all of [community_foundation_tag]. [community_foundation_tag] assessed and adapted, increasing [community_foundation_tag] efforts to address the inequities laid bare at the height of the pandemic.</t>
        </is>
      </c>
      <c r="C330" t="n">
        <v>1</v>
      </c>
      <c r="D330" t="n">
        <v>1</v>
      </c>
      <c r="E330" t="n">
        <v>0</v>
      </c>
      <c r="F330" t="n">
        <v>0</v>
      </c>
      <c r="G330" t="b">
        <v>1</v>
      </c>
      <c r="H330" t="n">
        <v>1</v>
      </c>
      <c r="I330" t="n">
        <v>0</v>
      </c>
      <c r="J330" t="n">
        <v>0</v>
      </c>
      <c r="K330" t="n">
        <v>2</v>
      </c>
      <c r="L330" t="n">
        <v>1</v>
      </c>
      <c r="M330" t="n">
        <v>0</v>
      </c>
      <c r="N330" t="n">
        <v>0</v>
      </c>
      <c r="O330" t="n">
        <v>2</v>
      </c>
      <c r="P330" s="7">
        <f>IF(SUM(H330:K330)=0,"",H330/SUM(H330:K330))</f>
        <v/>
      </c>
      <c r="Q330" s="7">
        <f>IF(SUM(H330:K330)=0,"",I330/SUM(H330:K330))</f>
        <v/>
      </c>
      <c r="R330" s="7">
        <f>IF(SUM(H330:K330)=0,"",J330/SUM(H330:K330))</f>
        <v/>
      </c>
      <c r="S330" s="7">
        <f>IF(SUM(H330:K330)=0,"",K330/SUM(H330:K330))</f>
        <v/>
      </c>
      <c r="T330" s="7">
        <f>IF(SUM(L330:O330)=0,"",L330/SUM(L330:O330))</f>
        <v/>
      </c>
      <c r="U330" s="7">
        <f>IF(SUM(L330:O330)=0,"",M330/SUM(L330:O330))</f>
        <v/>
      </c>
      <c r="V330" s="7">
        <f>IF(SUM(L330:O330)=0,"",N330/SUM(L330:O330))</f>
        <v/>
      </c>
      <c r="W330" s="7">
        <f>IF(SUM(L330:O330)=0,"",O330/SUM(L330:O330))</f>
        <v/>
      </c>
    </row>
    <row r="331">
      <c r="A331" t="n">
        <v>395</v>
      </c>
      <c r="B331" t="inlineStr">
        <is>
          <t>[community_foundation_tag]'s 2021 revenues and expenses reflect the winding down of [community_foundation_tag] Rapid Response Fund and the evolution of [community_foundation_tag] grantmaking and programs. 2021 contributions and program expenses are significantly less than the exceptional 2020 levels, but also differ from prior years in significant ways.</t>
        </is>
      </c>
      <c r="C331" t="n">
        <v>1</v>
      </c>
      <c r="D331" t="n">
        <v>1</v>
      </c>
      <c r="E331" t="n">
        <v>0</v>
      </c>
      <c r="F331" t="n">
        <v>0</v>
      </c>
      <c r="G331" t="b">
        <v>1</v>
      </c>
      <c r="H331" t="n">
        <v>2</v>
      </c>
      <c r="I331" t="n">
        <v>0</v>
      </c>
      <c r="J331" t="n">
        <v>0</v>
      </c>
      <c r="K331" t="n">
        <v>0</v>
      </c>
      <c r="L331" t="n">
        <v>2</v>
      </c>
      <c r="M331" t="n">
        <v>0</v>
      </c>
      <c r="N331" t="n">
        <v>1</v>
      </c>
      <c r="O331" t="n">
        <v>0</v>
      </c>
      <c r="P331" s="7">
        <f>IF(SUM(H331:K331)=0,"",H331/SUM(H331:K331))</f>
        <v/>
      </c>
      <c r="Q331" s="7">
        <f>IF(SUM(H331:K331)=0,"",I331/SUM(H331:K331))</f>
        <v/>
      </c>
      <c r="R331" s="7">
        <f>IF(SUM(H331:K331)=0,"",J331/SUM(H331:K331))</f>
        <v/>
      </c>
      <c r="S331" s="7">
        <f>IF(SUM(H331:K331)=0,"",K331/SUM(H331:K331))</f>
        <v/>
      </c>
      <c r="T331" s="7">
        <f>IF(SUM(L331:O331)=0,"",L331/SUM(L331:O331))</f>
        <v/>
      </c>
      <c r="U331" s="7">
        <f>IF(SUM(L331:O331)=0,"",M331/SUM(L331:O331))</f>
        <v/>
      </c>
      <c r="V331" s="7">
        <f>IF(SUM(L331:O331)=0,"",N331/SUM(L331:O331))</f>
        <v/>
      </c>
      <c r="W331" s="7">
        <f>IF(SUM(L331:O331)=0,"",O331/SUM(L331:O331))</f>
        <v/>
      </c>
    </row>
    <row r="332">
      <c r="A332" t="n">
        <v>396</v>
      </c>
      <c r="B332" t="inlineStr">
        <is>
          <t>[community_foundation_tag] community's continuing support for [community_foundation_tag]'s work was reflected in Now! Fund contributions that exceeded any previous year. And, buoyed by the final Rapid Response gifts, [community_foundation_tag] community-centered grantmaking exceeded $1.2 million, nearly 50% more than comparable grantmaking in 2019. In 2021, [community_foundation_tag] donor advised funds increased their grantmaking to [community_foundation_tag] and nonprofits in Evanston by 40%.</t>
        </is>
      </c>
      <c r="C332" t="n">
        <v>1</v>
      </c>
      <c r="D332" t="n">
        <v>3</v>
      </c>
      <c r="E332" t="n">
        <v>0</v>
      </c>
      <c r="F332" t="n">
        <v>0</v>
      </c>
      <c r="G332" t="b">
        <v>1</v>
      </c>
      <c r="H332" t="n">
        <v>2</v>
      </c>
      <c r="I332" t="n">
        <v>0</v>
      </c>
      <c r="J332" t="n">
        <v>0</v>
      </c>
      <c r="K332" t="n">
        <v>0</v>
      </c>
      <c r="L332" t="n">
        <v>6</v>
      </c>
      <c r="M332" t="n">
        <v>3</v>
      </c>
      <c r="N332" t="n">
        <v>0</v>
      </c>
      <c r="O332" t="n">
        <v>0</v>
      </c>
      <c r="P332" s="7">
        <f>IF(SUM(H332:K332)=0,"",H332/SUM(H332:K332))</f>
        <v/>
      </c>
      <c r="Q332" s="7">
        <f>IF(SUM(H332:K332)=0,"",I332/SUM(H332:K332))</f>
        <v/>
      </c>
      <c r="R332" s="7">
        <f>IF(SUM(H332:K332)=0,"",J332/SUM(H332:K332))</f>
        <v/>
      </c>
      <c r="S332" s="7">
        <f>IF(SUM(H332:K332)=0,"",K332/SUM(H332:K332))</f>
        <v/>
      </c>
      <c r="T332" s="7">
        <f>IF(SUM(L332:O332)=0,"",L332/SUM(L332:O332))</f>
        <v/>
      </c>
      <c r="U332" s="7">
        <f>IF(SUM(L332:O332)=0,"",M332/SUM(L332:O332))</f>
        <v/>
      </c>
      <c r="V332" s="7">
        <f>IF(SUM(L332:O332)=0,"",N332/SUM(L332:O332))</f>
        <v/>
      </c>
      <c r="W332" s="7">
        <f>IF(SUM(L332:O332)=0,"",O332/SUM(L332:O332))</f>
        <v/>
      </c>
    </row>
    <row r="333">
      <c r="A333" t="n">
        <v>397</v>
      </c>
      <c r="B333" t="inlineStr">
        <is>
          <t>As noted in the report of the investment council, the funds invested in [community_foundation_tag]'s portfolio earned 15.0% in 2021, ahead of [community_foundation_tag] 2020 return of 12.4%.</t>
        </is>
      </c>
      <c r="C333" t="n">
        <v>1</v>
      </c>
      <c r="D333" t="n">
        <v>1</v>
      </c>
      <c r="E333" t="n">
        <v>0</v>
      </c>
      <c r="F333" t="n">
        <v>0</v>
      </c>
      <c r="G333" t="b">
        <v>1</v>
      </c>
      <c r="H333" t="n">
        <v>2</v>
      </c>
      <c r="I333" t="n">
        <v>0</v>
      </c>
      <c r="J333" t="n">
        <v>0</v>
      </c>
      <c r="K333" t="n">
        <v>0</v>
      </c>
      <c r="L333" t="n">
        <v>2</v>
      </c>
      <c r="M333" t="n">
        <v>1</v>
      </c>
      <c r="N333" t="n">
        <v>0</v>
      </c>
      <c r="O333" t="n">
        <v>0</v>
      </c>
      <c r="P333" s="7">
        <f>IF(SUM(H333:K333)=0,"",H333/SUM(H333:K333))</f>
        <v/>
      </c>
      <c r="Q333" s="7">
        <f>IF(SUM(H333:K333)=0,"",I333/SUM(H333:K333))</f>
        <v/>
      </c>
      <c r="R333" s="7">
        <f>IF(SUM(H333:K333)=0,"",J333/SUM(H333:K333))</f>
        <v/>
      </c>
      <c r="S333" s="7">
        <f>IF(SUM(H333:K333)=0,"",K333/SUM(H333:K333))</f>
        <v/>
      </c>
      <c r="T333" s="7">
        <f>IF(SUM(L333:O333)=0,"",L333/SUM(L333:O333))</f>
        <v/>
      </c>
      <c r="U333" s="7">
        <f>IF(SUM(L333:O333)=0,"",M333/SUM(L333:O333))</f>
        <v/>
      </c>
      <c r="V333" s="7">
        <f>IF(SUM(L333:O333)=0,"",N333/SUM(L333:O333))</f>
        <v/>
      </c>
      <c r="W333" s="7">
        <f>IF(SUM(L333:O333)=0,"",O333/SUM(L333:O333))</f>
        <v/>
      </c>
    </row>
    <row r="334">
      <c r="A334" t="n">
        <v>398</v>
      </c>
      <c r="B334" t="inlineStr">
        <is>
          <t>The investment results are reflected in both the increase in assets and liabilities.</t>
        </is>
      </c>
      <c r="C334" t="n">
        <v>0</v>
      </c>
      <c r="D334" t="n">
        <v>0</v>
      </c>
      <c r="E334" t="n">
        <v>0</v>
      </c>
      <c r="F334" t="n">
        <v>0</v>
      </c>
      <c r="G334" t="b">
        <v>0</v>
      </c>
      <c r="H334" t="n">
        <v>0</v>
      </c>
      <c r="I334" t="n">
        <v>0</v>
      </c>
      <c r="J334" t="n">
        <v>0</v>
      </c>
      <c r="K334" t="n">
        <v>0</v>
      </c>
      <c r="L334" t="n">
        <v>0</v>
      </c>
      <c r="M334" t="n">
        <v>0</v>
      </c>
      <c r="N334" t="n">
        <v>0</v>
      </c>
      <c r="O334" t="n">
        <v>0</v>
      </c>
      <c r="P334" s="7">
        <f>IF(SUM(H334:K334)=0,"",H334/SUM(H334:K334))</f>
        <v/>
      </c>
      <c r="Q334" s="7">
        <f>IF(SUM(H334:K334)=0,"",I334/SUM(H334:K334))</f>
        <v/>
      </c>
      <c r="R334" s="7">
        <f>IF(SUM(H334:K334)=0,"",J334/SUM(H334:K334))</f>
        <v/>
      </c>
      <c r="S334" s="7">
        <f>IF(SUM(H334:K334)=0,"",K334/SUM(H334:K334))</f>
        <v/>
      </c>
      <c r="T334" s="7">
        <f>IF(SUM(L334:O334)=0,"",L334/SUM(L334:O334))</f>
        <v/>
      </c>
      <c r="U334" s="7">
        <f>IF(SUM(L334:O334)=0,"",M334/SUM(L334:O334))</f>
        <v/>
      </c>
      <c r="V334" s="7">
        <f>IF(SUM(L334:O334)=0,"",N334/SUM(L334:O334))</f>
        <v/>
      </c>
      <c r="W334" s="7">
        <f>IF(SUM(L334:O334)=0,"",O334/SUM(L334:O334))</f>
        <v/>
      </c>
    </row>
    <row r="335">
      <c r="A335" t="n">
        <v>399</v>
      </c>
      <c r="B335" t="inlineStr">
        <is>
          <t>The funds [community_foundation_tag] holds for other nonprofits are categorized as liabilities, in accordance with accounting standards.</t>
        </is>
      </c>
      <c r="C335" t="n">
        <v>1</v>
      </c>
      <c r="D335" t="n">
        <v>1</v>
      </c>
      <c r="E335" t="n">
        <v>0</v>
      </c>
      <c r="F335" t="n">
        <v>0</v>
      </c>
      <c r="G335" t="b">
        <v>1</v>
      </c>
      <c r="H335" t="n">
        <v>2</v>
      </c>
      <c r="I335" t="n">
        <v>0</v>
      </c>
      <c r="J335" t="n">
        <v>0</v>
      </c>
      <c r="K335" t="n">
        <v>0</v>
      </c>
      <c r="L335" t="n">
        <v>1</v>
      </c>
      <c r="M335" t="n">
        <v>2</v>
      </c>
      <c r="N335" t="n">
        <v>0</v>
      </c>
      <c r="O335" t="n">
        <v>0</v>
      </c>
      <c r="P335" s="7">
        <f>IF(SUM(H335:K335)=0,"",H335/SUM(H335:K335))</f>
        <v/>
      </c>
      <c r="Q335" s="7">
        <f>IF(SUM(H335:K335)=0,"",I335/SUM(H335:K335))</f>
        <v/>
      </c>
      <c r="R335" s="7">
        <f>IF(SUM(H335:K335)=0,"",J335/SUM(H335:K335))</f>
        <v/>
      </c>
      <c r="S335" s="7">
        <f>IF(SUM(H335:K335)=0,"",K335/SUM(H335:K335))</f>
        <v/>
      </c>
      <c r="T335" s="7">
        <f>IF(SUM(L335:O335)=0,"",L335/SUM(L335:O335))</f>
        <v/>
      </c>
      <c r="U335" s="7">
        <f>IF(SUM(L335:O335)=0,"",M335/SUM(L335:O335))</f>
        <v/>
      </c>
      <c r="V335" s="7">
        <f>IF(SUM(L335:O335)=0,"",N335/SUM(L335:O335))</f>
        <v/>
      </c>
      <c r="W335" s="7">
        <f>IF(SUM(L335:O335)=0,"",O335/SUM(L335:O335))</f>
        <v/>
      </c>
    </row>
    <row r="336">
      <c r="A336" t="n">
        <v>400</v>
      </c>
      <c r="B336" t="inlineStr">
        <is>
          <t>Investment earnings on those funds in 2021 exceeded fund distributions by more than $500,000.</t>
        </is>
      </c>
      <c r="C336" t="n">
        <v>1</v>
      </c>
      <c r="D336" t="n">
        <v>1</v>
      </c>
      <c r="E336" t="n">
        <v>0</v>
      </c>
      <c r="F336" t="n">
        <v>0</v>
      </c>
      <c r="G336" t="b">
        <v>1</v>
      </c>
      <c r="H336" t="n">
        <v>2</v>
      </c>
      <c r="I336" t="n">
        <v>0</v>
      </c>
      <c r="J336" t="n">
        <v>0</v>
      </c>
      <c r="K336" t="n">
        <v>0</v>
      </c>
      <c r="L336" t="n">
        <v>2</v>
      </c>
      <c r="M336" t="n">
        <v>1</v>
      </c>
      <c r="N336" t="n">
        <v>0</v>
      </c>
      <c r="O336" t="n">
        <v>0</v>
      </c>
      <c r="P336" s="7">
        <f>IF(SUM(H336:K336)=0,"",H336/SUM(H336:K336))</f>
        <v/>
      </c>
      <c r="Q336" s="7">
        <f>IF(SUM(H336:K336)=0,"",I336/SUM(H336:K336))</f>
        <v/>
      </c>
      <c r="R336" s="7">
        <f>IF(SUM(H336:K336)=0,"",J336/SUM(H336:K336))</f>
        <v/>
      </c>
      <c r="S336" s="7">
        <f>IF(SUM(H336:K336)=0,"",K336/SUM(H336:K336))</f>
        <v/>
      </c>
      <c r="T336" s="7">
        <f>IF(SUM(L336:O336)=0,"",L336/SUM(L336:O336))</f>
        <v/>
      </c>
      <c r="U336" s="7">
        <f>IF(SUM(L336:O336)=0,"",M336/SUM(L336:O336))</f>
        <v/>
      </c>
      <c r="V336" s="7">
        <f>IF(SUM(L336:O336)=0,"",N336/SUM(L336:O336))</f>
        <v/>
      </c>
      <c r="W336" s="7">
        <f>IF(SUM(L336:O336)=0,"",O336/SUM(L336:O336))</f>
        <v/>
      </c>
    </row>
    <row r="337">
      <c r="A337" t="n">
        <v>401</v>
      </c>
      <c r="B337" t="inlineStr">
        <is>
          <t>Summary of Financial Data as of December 31, 2021 and 2020, in thousands</t>
        </is>
      </c>
      <c r="C337" t="n">
        <v>1</v>
      </c>
      <c r="D337" t="n">
        <v>0</v>
      </c>
      <c r="E337" t="n">
        <v>0</v>
      </c>
      <c r="F337" t="n">
        <v>0</v>
      </c>
      <c r="G337" t="b">
        <v>0</v>
      </c>
      <c r="H337" t="n">
        <v>2</v>
      </c>
      <c r="I337" t="n">
        <v>0</v>
      </c>
      <c r="J337" t="n">
        <v>0</v>
      </c>
      <c r="K337" t="n">
        <v>0</v>
      </c>
      <c r="L337" t="n">
        <v>0</v>
      </c>
      <c r="M337" t="n">
        <v>0</v>
      </c>
      <c r="N337" t="n">
        <v>0</v>
      </c>
      <c r="O337" t="n">
        <v>0</v>
      </c>
      <c r="P337" s="7">
        <f>IF(SUM(H337:K337)=0,"",H337/SUM(H337:K337))</f>
        <v/>
      </c>
      <c r="Q337" s="7">
        <f>IF(SUM(H337:K337)=0,"",I337/SUM(H337:K337))</f>
        <v/>
      </c>
      <c r="R337" s="7">
        <f>IF(SUM(H337:K337)=0,"",J337/SUM(H337:K337))</f>
        <v/>
      </c>
      <c r="S337" s="7">
        <f>IF(SUM(H337:K337)=0,"",K337/SUM(H337:K337))</f>
        <v/>
      </c>
      <c r="T337" s="7">
        <f>IF(SUM(L337:O337)=0,"",L337/SUM(L337:O337))</f>
        <v/>
      </c>
      <c r="U337" s="7">
        <f>IF(SUM(L337:O337)=0,"",M337/SUM(L337:O337))</f>
        <v/>
      </c>
      <c r="V337" s="7">
        <f>IF(SUM(L337:O337)=0,"",N337/SUM(L337:O337))</f>
        <v/>
      </c>
      <c r="W337" s="7">
        <f>IF(SUM(L337:O337)=0,"",O337/SUM(L337:O337))</f>
        <v/>
      </c>
    </row>
    <row r="338">
      <c r="A338" t="n">
        <v>403</v>
      </c>
      <c r="B338" t="inlineStr">
        <is>
          <t>*2021 audited financial statements will be available for review at [community_foundation_tag], and at [community_foundation_tag]'s office in August 2022.</t>
        </is>
      </c>
      <c r="C338" t="n">
        <v>0</v>
      </c>
      <c r="D338" t="n">
        <v>0</v>
      </c>
      <c r="E338" t="n">
        <v>0</v>
      </c>
      <c r="F338" t="n">
        <v>0</v>
      </c>
      <c r="G338" t="b">
        <v>0</v>
      </c>
      <c r="H338" t="n">
        <v>0</v>
      </c>
      <c r="I338" t="n">
        <v>0</v>
      </c>
      <c r="J338" t="n">
        <v>0</v>
      </c>
      <c r="K338" t="n">
        <v>0</v>
      </c>
      <c r="L338" t="n">
        <v>0</v>
      </c>
      <c r="M338" t="n">
        <v>0</v>
      </c>
      <c r="N338" t="n">
        <v>0</v>
      </c>
      <c r="O338" t="n">
        <v>0</v>
      </c>
      <c r="P338" s="7">
        <f>IF(SUM(H338:K338)=0,"",H338/SUM(H338:K338))</f>
        <v/>
      </c>
      <c r="Q338" s="7">
        <f>IF(SUM(H338:K338)=0,"",I338/SUM(H338:K338))</f>
        <v/>
      </c>
      <c r="R338" s="7">
        <f>IF(SUM(H338:K338)=0,"",J338/SUM(H338:K338))</f>
        <v/>
      </c>
      <c r="S338" s="7">
        <f>IF(SUM(H338:K338)=0,"",K338/SUM(H338:K338))</f>
        <v/>
      </c>
      <c r="T338" s="7">
        <f>IF(SUM(L338:O338)=0,"",L338/SUM(L338:O338))</f>
        <v/>
      </c>
      <c r="U338" s="7">
        <f>IF(SUM(L338:O338)=0,"",M338/SUM(L338:O338))</f>
        <v/>
      </c>
      <c r="V338" s="7">
        <f>IF(SUM(L338:O338)=0,"",N338/SUM(L338:O338))</f>
        <v/>
      </c>
      <c r="W338" s="7">
        <f>IF(SUM(L338:O338)=0,"",O338/SUM(L338:O338))</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2:F9"/>
  <sheetViews>
    <sheetView workbookViewId="0">
      <selection activeCell="A1" sqref="A1"/>
    </sheetView>
  </sheetViews>
  <sheetFormatPr baseColWidth="8" defaultRowHeight="15"/>
  <cols>
    <col width="3" customWidth="1" min="1" max="1"/>
    <col width="30" customWidth="1" min="2" max="2"/>
    <col width="13" customWidth="1" min="3" max="3"/>
    <col width="9" customWidth="1" min="4" max="4"/>
    <col width="13" customWidth="1" min="5" max="5"/>
    <col width="9" customWidth="1" min="6" max="6"/>
  </cols>
  <sheetData>
    <row r="2">
      <c r="B2" s="1" t="inlineStr">
        <is>
          <t>Document-level totals — 363466802_2021</t>
        </is>
      </c>
    </row>
    <row r="4">
      <c r="B4" s="6" t="inlineStr">
        <is>
          <t>Logic</t>
        </is>
      </c>
      <c r="C4" s="6" t="inlineStr">
        <is>
          <t>Human points</t>
        </is>
      </c>
      <c r="D4" s="6" t="inlineStr">
        <is>
          <t>Human %</t>
        </is>
      </c>
      <c r="E4" s="6" t="inlineStr">
        <is>
          <t>AI points</t>
        </is>
      </c>
      <c r="F4" s="6" t="inlineStr">
        <is>
          <t>AI %</t>
        </is>
      </c>
    </row>
    <row r="5">
      <c r="B5" s="4" t="inlineStr">
        <is>
          <t>PS — Philanthropic Stewardship</t>
        </is>
      </c>
      <c r="C5">
        <f>SUMIFS('R1 Chunk-level'!H2:H338,'R1 Chunk-level'!G2:G338,TRUE)</f>
        <v/>
      </c>
      <c r="D5" s="7">
        <f>IF($C$9=0,"",C5/$C$9)</f>
        <v/>
      </c>
      <c r="E5">
        <f>SUMIFS('R1 Chunk-level'!L2:L338,'R1 Chunk-level'!G2:G338,TRUE)</f>
        <v/>
      </c>
      <c r="F5" s="7">
        <f>IF($E$9=0,"",E5/$E$9)</f>
        <v/>
      </c>
    </row>
    <row r="6">
      <c r="B6" s="4" t="inlineStr">
        <is>
          <t>DS — Donor Services</t>
        </is>
      </c>
      <c r="C6">
        <f>SUMIFS('R1 Chunk-level'!I2:I338,'R1 Chunk-level'!G2:G338,TRUE)</f>
        <v/>
      </c>
      <c r="D6" s="7">
        <f>IF($C$9=0,"",C6/$C$9)</f>
        <v/>
      </c>
      <c r="E6">
        <f>SUMIFS('R1 Chunk-level'!M2:M338,'R1 Chunk-level'!G2:G338,TRUE)</f>
        <v/>
      </c>
      <c r="F6" s="7">
        <f>IF($E$9=0,"",E6/$E$9)</f>
        <v/>
      </c>
    </row>
    <row r="7">
      <c r="B7" s="4" t="inlineStr">
        <is>
          <t>PPG — Public-Private Governance</t>
        </is>
      </c>
      <c r="C7">
        <f>SUMIFS('R1 Chunk-level'!J2:J338,'R1 Chunk-level'!G2:G338,TRUE)</f>
        <v/>
      </c>
      <c r="D7" s="7">
        <f>IF($C$9=0,"",C7/$C$9)</f>
        <v/>
      </c>
      <c r="E7">
        <f>SUMIFS('R1 Chunk-level'!N2:N338,'R1 Chunk-level'!G2:G338,TRUE)</f>
        <v/>
      </c>
      <c r="F7" s="7">
        <f>IF($E$9=0,"",E7/$E$9)</f>
        <v/>
      </c>
    </row>
    <row r="8">
      <c r="B8" s="4" t="inlineStr">
        <is>
          <t>SC — Social Change</t>
        </is>
      </c>
      <c r="C8">
        <f>SUMIFS('R1 Chunk-level'!K2:K338,'R1 Chunk-level'!G2:G338,TRUE)</f>
        <v/>
      </c>
      <c r="D8" s="7">
        <f>IF($C$9=0,"",C8/$C$9)</f>
        <v/>
      </c>
      <c r="E8">
        <f>SUMIFS('R1 Chunk-level'!O2:O338,'R1 Chunk-level'!G2:G338,TRUE)</f>
        <v/>
      </c>
      <c r="F8" s="7">
        <f>IF($E$9=0,"",E8/$E$9)</f>
        <v/>
      </c>
    </row>
    <row r="9">
      <c r="B9" s="3" t="inlineStr">
        <is>
          <t>Total</t>
        </is>
      </c>
      <c r="C9" s="3">
        <f>SUM(C5:C8)</f>
        <v/>
      </c>
      <c r="E9" s="3">
        <f>SUM(E5:E8)</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62"/>
  <sheetViews>
    <sheetView workbookViewId="0">
      <pane ySplit="1" topLeftCell="A2" activePane="bottomLeft" state="frozen"/>
      <selection pane="bottomLeft" activeCell="A1" sqref="A1"/>
    </sheetView>
  </sheetViews>
  <sheetFormatPr baseColWidth="8" defaultRowHeight="15"/>
  <cols>
    <col width="10" customWidth="1" min="1" max="1"/>
    <col width="15" customWidth="1" min="2" max="2"/>
    <col width="10" customWidth="1" min="3" max="3"/>
    <col width="13" customWidth="1" min="4" max="4"/>
    <col width="9" customWidth="1" min="5" max="5"/>
    <col width="9" customWidth="1" min="6" max="6"/>
  </cols>
  <sheetData>
    <row r="1">
      <c r="A1" s="6" t="inlineStr">
        <is>
          <t>Chunk ID</t>
        </is>
      </c>
      <c r="B1" s="6" t="inlineStr">
        <is>
          <t>Human dominant</t>
        </is>
      </c>
      <c r="C1" s="6" t="inlineStr">
        <is>
          <t>Human tie?</t>
        </is>
      </c>
      <c r="D1" s="6" t="inlineStr">
        <is>
          <t>AI dominant</t>
        </is>
      </c>
      <c r="E1" s="6" t="inlineStr">
        <is>
          <t>AI tie?</t>
        </is>
      </c>
      <c r="F1" s="6" t="inlineStr">
        <is>
          <t>Match?</t>
        </is>
      </c>
    </row>
    <row r="2">
      <c r="A2" t="n">
        <v>4</v>
      </c>
      <c r="B2" t="inlineStr">
        <is>
          <t>SC</t>
        </is>
      </c>
      <c r="C2" t="b">
        <v>0</v>
      </c>
      <c r="D2" t="inlineStr">
        <is>
          <t>SC</t>
        </is>
      </c>
      <c r="E2" t="b">
        <v>0</v>
      </c>
      <c r="F2" t="b">
        <v>1</v>
      </c>
    </row>
    <row r="3">
      <c r="A3" t="n">
        <v>9</v>
      </c>
      <c r="B3" t="inlineStr">
        <is>
          <t>SC</t>
        </is>
      </c>
      <c r="C3" t="b">
        <v>0</v>
      </c>
      <c r="D3" t="inlineStr">
        <is>
          <t>SC</t>
        </is>
      </c>
      <c r="E3" t="b">
        <v>0</v>
      </c>
      <c r="F3" t="b">
        <v>1</v>
      </c>
    </row>
    <row r="4">
      <c r="A4" t="n">
        <v>10</v>
      </c>
      <c r="B4" t="inlineStr">
        <is>
          <t>PS</t>
        </is>
      </c>
      <c r="C4" t="b">
        <v>1</v>
      </c>
      <c r="D4" t="inlineStr">
        <is>
          <t>SC</t>
        </is>
      </c>
      <c r="E4" t="b">
        <v>0</v>
      </c>
      <c r="F4" t="b">
        <v>0</v>
      </c>
    </row>
    <row r="5">
      <c r="A5" t="n">
        <v>11</v>
      </c>
      <c r="B5" t="inlineStr">
        <is>
          <t>SC</t>
        </is>
      </c>
      <c r="C5" t="b">
        <v>0</v>
      </c>
      <c r="D5" t="inlineStr">
        <is>
          <t>SC</t>
        </is>
      </c>
      <c r="E5" t="b">
        <v>0</v>
      </c>
      <c r="F5" t="b">
        <v>1</v>
      </c>
    </row>
    <row r="6">
      <c r="A6" t="n">
        <v>12</v>
      </c>
      <c r="B6" t="inlineStr">
        <is>
          <t>SC</t>
        </is>
      </c>
      <c r="C6" t="b">
        <v>0</v>
      </c>
      <c r="D6" t="inlineStr">
        <is>
          <t>SC</t>
        </is>
      </c>
      <c r="E6" t="b">
        <v>0</v>
      </c>
      <c r="F6" t="b">
        <v>1</v>
      </c>
    </row>
    <row r="7">
      <c r="A7" t="n">
        <v>13</v>
      </c>
      <c r="B7" t="inlineStr">
        <is>
          <t>SC</t>
        </is>
      </c>
      <c r="C7" t="b">
        <v>0</v>
      </c>
      <c r="D7" t="inlineStr">
        <is>
          <t>SC</t>
        </is>
      </c>
      <c r="E7" t="b">
        <v>0</v>
      </c>
      <c r="F7" t="b">
        <v>1</v>
      </c>
    </row>
    <row r="8">
      <c r="A8" t="n">
        <v>14</v>
      </c>
      <c r="B8" t="inlineStr">
        <is>
          <t>SC</t>
        </is>
      </c>
      <c r="C8" t="b">
        <v>0</v>
      </c>
      <c r="D8" t="inlineStr">
        <is>
          <t>SC</t>
        </is>
      </c>
      <c r="E8" t="b">
        <v>0</v>
      </c>
      <c r="F8" t="b">
        <v>1</v>
      </c>
    </row>
    <row r="9">
      <c r="A9" t="n">
        <v>22</v>
      </c>
      <c r="B9" t="inlineStr">
        <is>
          <t>SC</t>
        </is>
      </c>
      <c r="C9" t="b">
        <v>0</v>
      </c>
      <c r="D9" t="inlineStr">
        <is>
          <t>PS</t>
        </is>
      </c>
      <c r="E9" t="b">
        <v>0</v>
      </c>
      <c r="F9" t="b">
        <v>0</v>
      </c>
    </row>
    <row r="10">
      <c r="A10" t="n">
        <v>23</v>
      </c>
      <c r="B10" t="inlineStr">
        <is>
          <t>SC</t>
        </is>
      </c>
      <c r="C10" t="b">
        <v>0</v>
      </c>
      <c r="D10" t="inlineStr">
        <is>
          <t>PS</t>
        </is>
      </c>
      <c r="E10" t="b">
        <v>0</v>
      </c>
      <c r="F10" t="b">
        <v>0</v>
      </c>
    </row>
    <row r="11">
      <c r="A11" t="n">
        <v>31</v>
      </c>
      <c r="B11" t="inlineStr">
        <is>
          <t>SC</t>
        </is>
      </c>
      <c r="C11" t="b">
        <v>0</v>
      </c>
      <c r="D11" t="inlineStr">
        <is>
          <t>SC</t>
        </is>
      </c>
      <c r="E11" t="b">
        <v>0</v>
      </c>
      <c r="F11" t="b">
        <v>1</v>
      </c>
    </row>
    <row r="12">
      <c r="A12" t="n">
        <v>32</v>
      </c>
      <c r="B12" t="inlineStr">
        <is>
          <t>SC</t>
        </is>
      </c>
      <c r="C12" t="b">
        <v>0</v>
      </c>
      <c r="D12" t="inlineStr">
        <is>
          <t>SC</t>
        </is>
      </c>
      <c r="E12" t="b">
        <v>0</v>
      </c>
      <c r="F12" t="b">
        <v>1</v>
      </c>
    </row>
    <row r="13">
      <c r="A13" t="n">
        <v>33</v>
      </c>
      <c r="B13" t="inlineStr">
        <is>
          <t>SC</t>
        </is>
      </c>
      <c r="C13" t="b">
        <v>0</v>
      </c>
      <c r="D13" t="inlineStr">
        <is>
          <t>SC</t>
        </is>
      </c>
      <c r="E13" t="b">
        <v>0</v>
      </c>
      <c r="F13" t="b">
        <v>1</v>
      </c>
    </row>
    <row r="14">
      <c r="A14" t="n">
        <v>34</v>
      </c>
      <c r="B14" t="inlineStr">
        <is>
          <t>SC</t>
        </is>
      </c>
      <c r="C14" t="b">
        <v>0</v>
      </c>
      <c r="D14" t="inlineStr">
        <is>
          <t>SC</t>
        </is>
      </c>
      <c r="E14" t="b">
        <v>0</v>
      </c>
      <c r="F14" t="b">
        <v>1</v>
      </c>
    </row>
    <row r="15">
      <c r="A15" t="n">
        <v>39</v>
      </c>
      <c r="B15" t="inlineStr">
        <is>
          <t>SC</t>
        </is>
      </c>
      <c r="C15" t="b">
        <v>0</v>
      </c>
      <c r="D15" t="inlineStr">
        <is>
          <t>SC</t>
        </is>
      </c>
      <c r="E15" t="b">
        <v>0</v>
      </c>
      <c r="F15" t="b">
        <v>1</v>
      </c>
    </row>
    <row r="16">
      <c r="A16" t="n">
        <v>41</v>
      </c>
      <c r="B16" t="inlineStr">
        <is>
          <t>PPG</t>
        </is>
      </c>
      <c r="C16" t="b">
        <v>0</v>
      </c>
      <c r="D16" t="inlineStr">
        <is>
          <t>PPG</t>
        </is>
      </c>
      <c r="E16" t="b">
        <v>0</v>
      </c>
      <c r="F16" t="b">
        <v>1</v>
      </c>
    </row>
    <row r="17">
      <c r="A17" t="n">
        <v>42</v>
      </c>
      <c r="B17" t="inlineStr">
        <is>
          <t>PPG</t>
        </is>
      </c>
      <c r="C17" t="b">
        <v>0</v>
      </c>
      <c r="D17" t="inlineStr">
        <is>
          <t>PPG</t>
        </is>
      </c>
      <c r="E17" t="b">
        <v>0</v>
      </c>
      <c r="F17" t="b">
        <v>1</v>
      </c>
    </row>
    <row r="18">
      <c r="A18" t="n">
        <v>44</v>
      </c>
      <c r="B18" t="inlineStr">
        <is>
          <t>SC</t>
        </is>
      </c>
      <c r="C18" t="b">
        <v>0</v>
      </c>
      <c r="D18" t="inlineStr">
        <is>
          <t>PPG</t>
        </is>
      </c>
      <c r="E18" t="b">
        <v>0</v>
      </c>
      <c r="F18" t="b">
        <v>0</v>
      </c>
    </row>
    <row r="19">
      <c r="A19" t="n">
        <v>46</v>
      </c>
      <c r="B19" t="inlineStr">
        <is>
          <t>PPG</t>
        </is>
      </c>
      <c r="C19" t="b">
        <v>0</v>
      </c>
      <c r="D19" t="inlineStr">
        <is>
          <t>PPG</t>
        </is>
      </c>
      <c r="E19" t="b">
        <v>0</v>
      </c>
      <c r="F19" t="b">
        <v>1</v>
      </c>
    </row>
    <row r="20">
      <c r="A20" t="n">
        <v>47</v>
      </c>
      <c r="B20" t="inlineStr">
        <is>
          <t>PS</t>
        </is>
      </c>
      <c r="C20" t="b">
        <v>1</v>
      </c>
      <c r="D20" t="inlineStr">
        <is>
          <t>PPG</t>
        </is>
      </c>
      <c r="E20" t="b">
        <v>0</v>
      </c>
      <c r="F20" t="b">
        <v>0</v>
      </c>
    </row>
    <row r="21">
      <c r="A21" t="n">
        <v>48</v>
      </c>
      <c r="B21" t="inlineStr">
        <is>
          <t>SC</t>
        </is>
      </c>
      <c r="C21" t="b">
        <v>0</v>
      </c>
      <c r="D21" t="inlineStr">
        <is>
          <t>SC</t>
        </is>
      </c>
      <c r="E21" t="b">
        <v>0</v>
      </c>
      <c r="F21" t="b">
        <v>1</v>
      </c>
    </row>
    <row r="22">
      <c r="A22" t="n">
        <v>49</v>
      </c>
      <c r="B22" t="inlineStr">
        <is>
          <t>SC</t>
        </is>
      </c>
      <c r="C22" t="b">
        <v>0</v>
      </c>
      <c r="D22" t="inlineStr">
        <is>
          <t>SC</t>
        </is>
      </c>
      <c r="E22" t="b">
        <v>0</v>
      </c>
      <c r="F22" t="b">
        <v>1</v>
      </c>
    </row>
    <row r="23">
      <c r="A23" t="n">
        <v>50</v>
      </c>
      <c r="B23" t="inlineStr">
        <is>
          <t>PS</t>
        </is>
      </c>
      <c r="C23" t="b">
        <v>1</v>
      </c>
      <c r="D23" t="inlineStr">
        <is>
          <t>SC</t>
        </is>
      </c>
      <c r="E23" t="b">
        <v>0</v>
      </c>
      <c r="F23" t="b">
        <v>0</v>
      </c>
    </row>
    <row r="24">
      <c r="A24" t="n">
        <v>51</v>
      </c>
      <c r="B24" t="inlineStr">
        <is>
          <t>SC</t>
        </is>
      </c>
      <c r="C24" t="b">
        <v>0</v>
      </c>
      <c r="D24" t="inlineStr">
        <is>
          <t>SC</t>
        </is>
      </c>
      <c r="E24" t="b">
        <v>0</v>
      </c>
      <c r="F24" t="b">
        <v>1</v>
      </c>
    </row>
    <row r="25">
      <c r="A25" t="n">
        <v>52</v>
      </c>
      <c r="B25" t="inlineStr">
        <is>
          <t>SC</t>
        </is>
      </c>
      <c r="C25" t="b">
        <v>0</v>
      </c>
      <c r="D25" t="inlineStr">
        <is>
          <t>SC</t>
        </is>
      </c>
      <c r="E25" t="b">
        <v>0</v>
      </c>
      <c r="F25" t="b">
        <v>1</v>
      </c>
    </row>
    <row r="26">
      <c r="A26" t="n">
        <v>53</v>
      </c>
      <c r="B26" t="inlineStr">
        <is>
          <t>SC</t>
        </is>
      </c>
      <c r="C26" t="b">
        <v>0</v>
      </c>
      <c r="D26" t="inlineStr">
        <is>
          <t>SC</t>
        </is>
      </c>
      <c r="E26" t="b">
        <v>0</v>
      </c>
      <c r="F26" t="b">
        <v>1</v>
      </c>
    </row>
    <row r="27">
      <c r="A27" t="n">
        <v>58</v>
      </c>
      <c r="B27" t="inlineStr">
        <is>
          <t>SC</t>
        </is>
      </c>
      <c r="C27" t="b">
        <v>0</v>
      </c>
      <c r="D27" t="inlineStr">
        <is>
          <t>SC</t>
        </is>
      </c>
      <c r="E27" t="b">
        <v>0</v>
      </c>
      <c r="F27" t="b">
        <v>1</v>
      </c>
    </row>
    <row r="28">
      <c r="A28" t="n">
        <v>62</v>
      </c>
      <c r="B28" t="inlineStr">
        <is>
          <t>SC</t>
        </is>
      </c>
      <c r="C28" t="b">
        <v>0</v>
      </c>
      <c r="D28" t="inlineStr">
        <is>
          <t>SC</t>
        </is>
      </c>
      <c r="E28" t="b">
        <v>0</v>
      </c>
      <c r="F28" t="b">
        <v>1</v>
      </c>
    </row>
    <row r="29">
      <c r="A29" t="n">
        <v>63</v>
      </c>
      <c r="B29" t="inlineStr">
        <is>
          <t>SC</t>
        </is>
      </c>
      <c r="C29" t="b">
        <v>0</v>
      </c>
      <c r="D29" t="inlineStr">
        <is>
          <t>SC</t>
        </is>
      </c>
      <c r="E29" t="b">
        <v>0</v>
      </c>
      <c r="F29" t="b">
        <v>1</v>
      </c>
    </row>
    <row r="30">
      <c r="A30" t="n">
        <v>64</v>
      </c>
      <c r="B30" t="inlineStr">
        <is>
          <t>SC</t>
        </is>
      </c>
      <c r="C30" t="b">
        <v>0</v>
      </c>
      <c r="D30" t="inlineStr">
        <is>
          <t>SC</t>
        </is>
      </c>
      <c r="E30" t="b">
        <v>0</v>
      </c>
      <c r="F30" t="b">
        <v>1</v>
      </c>
    </row>
    <row r="31">
      <c r="A31" t="n">
        <v>65</v>
      </c>
      <c r="B31" t="inlineStr">
        <is>
          <t>SC</t>
        </is>
      </c>
      <c r="C31" t="b">
        <v>0</v>
      </c>
      <c r="D31" t="inlineStr">
        <is>
          <t>SC</t>
        </is>
      </c>
      <c r="E31" t="b">
        <v>0</v>
      </c>
      <c r="F31" t="b">
        <v>1</v>
      </c>
    </row>
    <row r="32">
      <c r="A32" t="n">
        <v>66</v>
      </c>
      <c r="B32" t="inlineStr">
        <is>
          <t>SC</t>
        </is>
      </c>
      <c r="C32" t="b">
        <v>0</v>
      </c>
      <c r="D32" t="inlineStr">
        <is>
          <t>SC</t>
        </is>
      </c>
      <c r="E32" t="b">
        <v>0</v>
      </c>
      <c r="F32" t="b">
        <v>1</v>
      </c>
    </row>
    <row r="33">
      <c r="A33" t="n">
        <v>67</v>
      </c>
      <c r="B33" t="inlineStr">
        <is>
          <t>SC</t>
        </is>
      </c>
      <c r="C33" t="b">
        <v>0</v>
      </c>
      <c r="D33" t="inlineStr">
        <is>
          <t>SC</t>
        </is>
      </c>
      <c r="E33" t="b">
        <v>0</v>
      </c>
      <c r="F33" t="b">
        <v>1</v>
      </c>
    </row>
    <row r="34">
      <c r="A34" t="n">
        <v>68</v>
      </c>
      <c r="B34" t="inlineStr">
        <is>
          <t>SC</t>
        </is>
      </c>
      <c r="C34" t="b">
        <v>0</v>
      </c>
      <c r="D34" t="inlineStr">
        <is>
          <t>SC</t>
        </is>
      </c>
      <c r="E34" t="b">
        <v>0</v>
      </c>
      <c r="F34" t="b">
        <v>1</v>
      </c>
    </row>
    <row r="35">
      <c r="A35" t="n">
        <v>69</v>
      </c>
      <c r="B35" t="inlineStr">
        <is>
          <t>SC</t>
        </is>
      </c>
      <c r="C35" t="b">
        <v>0</v>
      </c>
      <c r="D35" t="inlineStr">
        <is>
          <t>SC</t>
        </is>
      </c>
      <c r="E35" t="b">
        <v>0</v>
      </c>
      <c r="F35" t="b">
        <v>1</v>
      </c>
    </row>
    <row r="36">
      <c r="A36" t="n">
        <v>73</v>
      </c>
      <c r="B36" t="inlineStr">
        <is>
          <t>SC</t>
        </is>
      </c>
      <c r="C36" t="b">
        <v>0</v>
      </c>
      <c r="D36" t="inlineStr">
        <is>
          <t>SC</t>
        </is>
      </c>
      <c r="E36" t="b">
        <v>0</v>
      </c>
      <c r="F36" t="b">
        <v>1</v>
      </c>
    </row>
    <row r="37">
      <c r="A37" t="n">
        <v>74</v>
      </c>
      <c r="B37" t="inlineStr">
        <is>
          <t>SC</t>
        </is>
      </c>
      <c r="C37" t="b">
        <v>0</v>
      </c>
      <c r="D37" t="inlineStr">
        <is>
          <t>SC</t>
        </is>
      </c>
      <c r="E37" t="b">
        <v>0</v>
      </c>
      <c r="F37" t="b">
        <v>1</v>
      </c>
    </row>
    <row r="38">
      <c r="A38" t="n">
        <v>75</v>
      </c>
      <c r="B38" t="inlineStr">
        <is>
          <t>PS</t>
        </is>
      </c>
      <c r="C38" t="b">
        <v>1</v>
      </c>
      <c r="D38" t="inlineStr">
        <is>
          <t>SC</t>
        </is>
      </c>
      <c r="E38" t="b">
        <v>0</v>
      </c>
      <c r="F38" t="b">
        <v>0</v>
      </c>
    </row>
    <row r="39">
      <c r="A39" t="n">
        <v>76</v>
      </c>
      <c r="B39" t="inlineStr">
        <is>
          <t>SC</t>
        </is>
      </c>
      <c r="C39" t="b">
        <v>0</v>
      </c>
      <c r="D39" t="inlineStr">
        <is>
          <t>DS</t>
        </is>
      </c>
      <c r="E39" t="b">
        <v>0</v>
      </c>
      <c r="F39" t="b">
        <v>0</v>
      </c>
    </row>
    <row r="40">
      <c r="A40" t="n">
        <v>77</v>
      </c>
      <c r="B40" t="inlineStr">
        <is>
          <t>SC</t>
        </is>
      </c>
      <c r="C40" t="b">
        <v>0</v>
      </c>
      <c r="D40" t="inlineStr">
        <is>
          <t>SC</t>
        </is>
      </c>
      <c r="E40" t="b">
        <v>0</v>
      </c>
      <c r="F40" t="b">
        <v>1</v>
      </c>
    </row>
    <row r="41">
      <c r="A41" t="n">
        <v>78</v>
      </c>
      <c r="B41" t="inlineStr">
        <is>
          <t>SC</t>
        </is>
      </c>
      <c r="C41" t="b">
        <v>0</v>
      </c>
      <c r="D41" t="inlineStr">
        <is>
          <t>SC</t>
        </is>
      </c>
      <c r="E41" t="b">
        <v>0</v>
      </c>
      <c r="F41" t="b">
        <v>1</v>
      </c>
    </row>
    <row r="42">
      <c r="A42" t="n">
        <v>79</v>
      </c>
      <c r="B42" t="inlineStr">
        <is>
          <t>SC</t>
        </is>
      </c>
      <c r="C42" t="b">
        <v>0</v>
      </c>
      <c r="D42" t="inlineStr">
        <is>
          <t>SC</t>
        </is>
      </c>
      <c r="E42" t="b">
        <v>0</v>
      </c>
      <c r="F42" t="b">
        <v>1</v>
      </c>
    </row>
    <row r="43">
      <c r="A43" t="n">
        <v>80</v>
      </c>
      <c r="B43" t="inlineStr">
        <is>
          <t>SC</t>
        </is>
      </c>
      <c r="C43" t="b">
        <v>0</v>
      </c>
      <c r="D43" t="inlineStr">
        <is>
          <t>SC</t>
        </is>
      </c>
      <c r="E43" t="b">
        <v>0</v>
      </c>
      <c r="F43" t="b">
        <v>1</v>
      </c>
    </row>
    <row r="44">
      <c r="A44" t="n">
        <v>82</v>
      </c>
      <c r="B44" t="inlineStr">
        <is>
          <t>SC</t>
        </is>
      </c>
      <c r="C44" t="b">
        <v>0</v>
      </c>
      <c r="D44" t="inlineStr">
        <is>
          <t>SC</t>
        </is>
      </c>
      <c r="E44" t="b">
        <v>0</v>
      </c>
      <c r="F44" t="b">
        <v>1</v>
      </c>
    </row>
    <row r="45">
      <c r="A45" t="n">
        <v>83</v>
      </c>
      <c r="B45" t="inlineStr">
        <is>
          <t>SC</t>
        </is>
      </c>
      <c r="C45" t="b">
        <v>0</v>
      </c>
      <c r="D45" t="inlineStr">
        <is>
          <t>SC</t>
        </is>
      </c>
      <c r="E45" t="b">
        <v>0</v>
      </c>
      <c r="F45" t="b">
        <v>1</v>
      </c>
    </row>
    <row r="46">
      <c r="A46" t="n">
        <v>85</v>
      </c>
      <c r="B46" t="inlineStr">
        <is>
          <t>SC</t>
        </is>
      </c>
      <c r="C46" t="b">
        <v>0</v>
      </c>
      <c r="D46" t="inlineStr">
        <is>
          <t>SC</t>
        </is>
      </c>
      <c r="E46" t="b">
        <v>0</v>
      </c>
      <c r="F46" t="b">
        <v>1</v>
      </c>
    </row>
    <row r="47">
      <c r="A47" t="n">
        <v>86</v>
      </c>
      <c r="B47" t="inlineStr">
        <is>
          <t>SC</t>
        </is>
      </c>
      <c r="C47" t="b">
        <v>0</v>
      </c>
      <c r="D47" t="inlineStr">
        <is>
          <t>SC</t>
        </is>
      </c>
      <c r="E47" t="b">
        <v>0</v>
      </c>
      <c r="F47" t="b">
        <v>1</v>
      </c>
    </row>
    <row r="48">
      <c r="A48" t="n">
        <v>88</v>
      </c>
      <c r="B48" t="inlineStr">
        <is>
          <t>SC</t>
        </is>
      </c>
      <c r="C48" t="b">
        <v>0</v>
      </c>
      <c r="D48" t="inlineStr">
        <is>
          <t>SC</t>
        </is>
      </c>
      <c r="E48" t="b">
        <v>0</v>
      </c>
      <c r="F48" t="b">
        <v>1</v>
      </c>
    </row>
    <row r="49">
      <c r="A49" t="n">
        <v>90</v>
      </c>
      <c r="B49" t="inlineStr">
        <is>
          <t>SC</t>
        </is>
      </c>
      <c r="C49" t="b">
        <v>0</v>
      </c>
      <c r="D49" t="inlineStr">
        <is>
          <t>SC</t>
        </is>
      </c>
      <c r="E49" t="b">
        <v>0</v>
      </c>
      <c r="F49" t="b">
        <v>1</v>
      </c>
    </row>
    <row r="50">
      <c r="A50" t="n">
        <v>91</v>
      </c>
      <c r="B50" t="inlineStr">
        <is>
          <t>SC</t>
        </is>
      </c>
      <c r="C50" t="b">
        <v>0</v>
      </c>
      <c r="D50" t="inlineStr">
        <is>
          <t>SC</t>
        </is>
      </c>
      <c r="E50" t="b">
        <v>0</v>
      </c>
      <c r="F50" t="b">
        <v>1</v>
      </c>
    </row>
    <row r="51">
      <c r="A51" t="n">
        <v>94</v>
      </c>
      <c r="B51" t="inlineStr">
        <is>
          <t>SC</t>
        </is>
      </c>
      <c r="C51" t="b">
        <v>0</v>
      </c>
      <c r="D51" t="inlineStr">
        <is>
          <t>PS</t>
        </is>
      </c>
      <c r="E51" t="b">
        <v>0</v>
      </c>
      <c r="F51" t="b">
        <v>0</v>
      </c>
    </row>
    <row r="52">
      <c r="A52" t="n">
        <v>97</v>
      </c>
      <c r="B52" t="inlineStr">
        <is>
          <t>PPG</t>
        </is>
      </c>
      <c r="C52" t="b">
        <v>0</v>
      </c>
      <c r="D52" t="inlineStr">
        <is>
          <t>SC</t>
        </is>
      </c>
      <c r="E52" t="b">
        <v>0</v>
      </c>
      <c r="F52" t="b">
        <v>0</v>
      </c>
    </row>
    <row r="53">
      <c r="A53" t="n">
        <v>98</v>
      </c>
      <c r="B53" t="inlineStr">
        <is>
          <t>SC</t>
        </is>
      </c>
      <c r="C53" t="b">
        <v>0</v>
      </c>
      <c r="D53" t="inlineStr">
        <is>
          <t>SC</t>
        </is>
      </c>
      <c r="E53" t="b">
        <v>0</v>
      </c>
      <c r="F53" t="b">
        <v>1</v>
      </c>
    </row>
    <row r="54">
      <c r="A54" t="n">
        <v>99</v>
      </c>
      <c r="B54" t="inlineStr">
        <is>
          <t>SC</t>
        </is>
      </c>
      <c r="C54" t="b">
        <v>0</v>
      </c>
      <c r="D54" t="inlineStr">
        <is>
          <t>SC</t>
        </is>
      </c>
      <c r="E54" t="b">
        <v>0</v>
      </c>
      <c r="F54" t="b">
        <v>1</v>
      </c>
    </row>
    <row r="55">
      <c r="A55" t="n">
        <v>100</v>
      </c>
      <c r="B55" t="inlineStr">
        <is>
          <t>SC</t>
        </is>
      </c>
      <c r="C55" t="b">
        <v>0</v>
      </c>
      <c r="D55" t="inlineStr">
        <is>
          <t>SC</t>
        </is>
      </c>
      <c r="E55" t="b">
        <v>0</v>
      </c>
      <c r="F55" t="b">
        <v>1</v>
      </c>
    </row>
    <row r="56">
      <c r="A56" t="n">
        <v>101</v>
      </c>
      <c r="B56" t="inlineStr">
        <is>
          <t>SC</t>
        </is>
      </c>
      <c r="C56" t="b">
        <v>0</v>
      </c>
      <c r="D56" t="inlineStr">
        <is>
          <t>SC</t>
        </is>
      </c>
      <c r="E56" t="b">
        <v>0</v>
      </c>
      <c r="F56" t="b">
        <v>1</v>
      </c>
    </row>
    <row r="57">
      <c r="A57" t="n">
        <v>102</v>
      </c>
      <c r="B57" t="inlineStr">
        <is>
          <t>SC</t>
        </is>
      </c>
      <c r="C57" t="b">
        <v>0</v>
      </c>
      <c r="D57" t="inlineStr">
        <is>
          <t>SC</t>
        </is>
      </c>
      <c r="E57" t="b">
        <v>0</v>
      </c>
      <c r="F57" t="b">
        <v>1</v>
      </c>
    </row>
    <row r="58">
      <c r="A58" t="n">
        <v>103</v>
      </c>
      <c r="B58" t="inlineStr">
        <is>
          <t>SC</t>
        </is>
      </c>
      <c r="C58" t="b">
        <v>0</v>
      </c>
      <c r="D58" t="inlineStr">
        <is>
          <t>SC</t>
        </is>
      </c>
      <c r="E58" t="b">
        <v>0</v>
      </c>
      <c r="F58" t="b">
        <v>1</v>
      </c>
    </row>
    <row r="59">
      <c r="A59" t="n">
        <v>104</v>
      </c>
      <c r="B59" t="inlineStr">
        <is>
          <t>PS</t>
        </is>
      </c>
      <c r="C59" t="b">
        <v>0</v>
      </c>
      <c r="D59" t="inlineStr">
        <is>
          <t>SC</t>
        </is>
      </c>
      <c r="E59" t="b">
        <v>0</v>
      </c>
      <c r="F59" t="b">
        <v>0</v>
      </c>
    </row>
    <row r="60">
      <c r="A60" t="n">
        <v>106</v>
      </c>
      <c r="B60" t="inlineStr">
        <is>
          <t>SC</t>
        </is>
      </c>
      <c r="C60" t="b">
        <v>0</v>
      </c>
      <c r="D60" t="inlineStr">
        <is>
          <t>SC</t>
        </is>
      </c>
      <c r="E60" t="b">
        <v>0</v>
      </c>
      <c r="F60" t="b">
        <v>1</v>
      </c>
    </row>
    <row r="61">
      <c r="A61" t="n">
        <v>107</v>
      </c>
      <c r="B61" t="inlineStr">
        <is>
          <t>PPG</t>
        </is>
      </c>
      <c r="C61" t="b">
        <v>0</v>
      </c>
      <c r="D61" t="inlineStr">
        <is>
          <t>SC</t>
        </is>
      </c>
      <c r="E61" t="b">
        <v>0</v>
      </c>
      <c r="F61" t="b">
        <v>0</v>
      </c>
    </row>
    <row r="62">
      <c r="A62" t="n">
        <v>108</v>
      </c>
      <c r="B62" t="inlineStr">
        <is>
          <t>SC</t>
        </is>
      </c>
      <c r="C62" t="b">
        <v>0</v>
      </c>
      <c r="D62" t="inlineStr">
        <is>
          <t>SC</t>
        </is>
      </c>
      <c r="E62" t="b">
        <v>0</v>
      </c>
      <c r="F62" t="b">
        <v>1</v>
      </c>
    </row>
    <row r="63">
      <c r="A63" t="n">
        <v>109</v>
      </c>
      <c r="B63" t="inlineStr">
        <is>
          <t>SC</t>
        </is>
      </c>
      <c r="C63" t="b">
        <v>0</v>
      </c>
      <c r="D63" t="inlineStr">
        <is>
          <t>SC</t>
        </is>
      </c>
      <c r="E63" t="b">
        <v>0</v>
      </c>
      <c r="F63" t="b">
        <v>1</v>
      </c>
    </row>
    <row r="64">
      <c r="A64" t="n">
        <v>110</v>
      </c>
      <c r="B64" t="inlineStr">
        <is>
          <t>PS</t>
        </is>
      </c>
      <c r="C64" t="b">
        <v>0</v>
      </c>
      <c r="D64" t="inlineStr">
        <is>
          <t>SC</t>
        </is>
      </c>
      <c r="E64" t="b">
        <v>0</v>
      </c>
      <c r="F64" t="b">
        <v>0</v>
      </c>
    </row>
    <row r="65">
      <c r="A65" t="n">
        <v>112</v>
      </c>
      <c r="B65" t="inlineStr">
        <is>
          <t>SC</t>
        </is>
      </c>
      <c r="C65" t="b">
        <v>0</v>
      </c>
      <c r="D65" t="inlineStr">
        <is>
          <t>SC</t>
        </is>
      </c>
      <c r="E65" t="b">
        <v>0</v>
      </c>
      <c r="F65" t="b">
        <v>1</v>
      </c>
    </row>
    <row r="66">
      <c r="A66" t="n">
        <v>113</v>
      </c>
      <c r="B66" t="inlineStr">
        <is>
          <t>SC</t>
        </is>
      </c>
      <c r="C66" t="b">
        <v>0</v>
      </c>
      <c r="D66" t="inlineStr">
        <is>
          <t>SC</t>
        </is>
      </c>
      <c r="E66" t="b">
        <v>0</v>
      </c>
      <c r="F66" t="b">
        <v>1</v>
      </c>
    </row>
    <row r="67">
      <c r="A67" t="n">
        <v>114</v>
      </c>
      <c r="B67" t="inlineStr">
        <is>
          <t>SC</t>
        </is>
      </c>
      <c r="C67" t="b">
        <v>0</v>
      </c>
      <c r="D67" t="inlineStr">
        <is>
          <t>SC</t>
        </is>
      </c>
      <c r="E67" t="b">
        <v>0</v>
      </c>
      <c r="F67" t="b">
        <v>1</v>
      </c>
    </row>
    <row r="68">
      <c r="A68" t="n">
        <v>115</v>
      </c>
      <c r="B68" t="inlineStr">
        <is>
          <t>SC</t>
        </is>
      </c>
      <c r="C68" t="b">
        <v>0</v>
      </c>
      <c r="D68" t="inlineStr">
        <is>
          <t>SC</t>
        </is>
      </c>
      <c r="E68" t="b">
        <v>0</v>
      </c>
      <c r="F68" t="b">
        <v>1</v>
      </c>
    </row>
    <row r="69">
      <c r="A69" t="n">
        <v>117</v>
      </c>
      <c r="B69" t="inlineStr">
        <is>
          <t>SC</t>
        </is>
      </c>
      <c r="C69" t="b">
        <v>0</v>
      </c>
      <c r="D69" t="inlineStr">
        <is>
          <t>SC</t>
        </is>
      </c>
      <c r="E69" t="b">
        <v>0</v>
      </c>
      <c r="F69" t="b">
        <v>1</v>
      </c>
    </row>
    <row r="70">
      <c r="A70" t="n">
        <v>118</v>
      </c>
      <c r="B70" t="inlineStr">
        <is>
          <t>SC</t>
        </is>
      </c>
      <c r="C70" t="b">
        <v>0</v>
      </c>
      <c r="D70" t="inlineStr">
        <is>
          <t>SC</t>
        </is>
      </c>
      <c r="E70" t="b">
        <v>0</v>
      </c>
      <c r="F70" t="b">
        <v>1</v>
      </c>
    </row>
    <row r="71">
      <c r="A71" t="n">
        <v>119</v>
      </c>
      <c r="B71" t="inlineStr">
        <is>
          <t>SC</t>
        </is>
      </c>
      <c r="C71" t="b">
        <v>0</v>
      </c>
      <c r="D71" t="inlineStr">
        <is>
          <t>SC</t>
        </is>
      </c>
      <c r="E71" t="b">
        <v>0</v>
      </c>
      <c r="F71" t="b">
        <v>1</v>
      </c>
    </row>
    <row r="72">
      <c r="A72" t="n">
        <v>120</v>
      </c>
      <c r="B72" t="inlineStr">
        <is>
          <t>PPG</t>
        </is>
      </c>
      <c r="C72" t="b">
        <v>0</v>
      </c>
      <c r="D72" t="inlineStr">
        <is>
          <t>PPG</t>
        </is>
      </c>
      <c r="E72" t="b">
        <v>0</v>
      </c>
      <c r="F72" t="b">
        <v>1</v>
      </c>
    </row>
    <row r="73">
      <c r="A73" t="n">
        <v>125</v>
      </c>
      <c r="B73" t="inlineStr">
        <is>
          <t>SC</t>
        </is>
      </c>
      <c r="C73" t="b">
        <v>0</v>
      </c>
      <c r="D73" t="inlineStr">
        <is>
          <t>PPG</t>
        </is>
      </c>
      <c r="E73" t="b">
        <v>0</v>
      </c>
      <c r="F73" t="b">
        <v>0</v>
      </c>
    </row>
    <row r="74">
      <c r="A74" t="n">
        <v>126</v>
      </c>
      <c r="B74" t="inlineStr">
        <is>
          <t>SC</t>
        </is>
      </c>
      <c r="C74" t="b">
        <v>0</v>
      </c>
      <c r="D74" t="inlineStr">
        <is>
          <t>SC</t>
        </is>
      </c>
      <c r="E74" t="b">
        <v>0</v>
      </c>
      <c r="F74" t="b">
        <v>1</v>
      </c>
    </row>
    <row r="75">
      <c r="A75" t="n">
        <v>127</v>
      </c>
      <c r="B75" t="inlineStr">
        <is>
          <t>SC</t>
        </is>
      </c>
      <c r="C75" t="b">
        <v>0</v>
      </c>
      <c r="D75" t="inlineStr">
        <is>
          <t>SC</t>
        </is>
      </c>
      <c r="E75" t="b">
        <v>0</v>
      </c>
      <c r="F75" t="b">
        <v>1</v>
      </c>
    </row>
    <row r="76">
      <c r="A76" t="n">
        <v>128</v>
      </c>
      <c r="B76" t="inlineStr">
        <is>
          <t>PPG</t>
        </is>
      </c>
      <c r="C76" t="b">
        <v>0</v>
      </c>
      <c r="D76" t="inlineStr">
        <is>
          <t>PS</t>
        </is>
      </c>
      <c r="E76" t="b">
        <v>0</v>
      </c>
      <c r="F76" t="b">
        <v>0</v>
      </c>
    </row>
    <row r="77">
      <c r="A77" t="n">
        <v>130</v>
      </c>
      <c r="B77" t="inlineStr">
        <is>
          <t>PS</t>
        </is>
      </c>
      <c r="C77" t="b">
        <v>0</v>
      </c>
      <c r="D77" t="inlineStr">
        <is>
          <t>PS</t>
        </is>
      </c>
      <c r="E77" t="b">
        <v>0</v>
      </c>
      <c r="F77" t="b">
        <v>1</v>
      </c>
    </row>
    <row r="78">
      <c r="A78" t="n">
        <v>133</v>
      </c>
      <c r="B78" t="inlineStr">
        <is>
          <t>PS</t>
        </is>
      </c>
      <c r="C78" t="b">
        <v>0</v>
      </c>
      <c r="D78" t="inlineStr">
        <is>
          <t>PPG</t>
        </is>
      </c>
      <c r="E78" t="b">
        <v>0</v>
      </c>
      <c r="F78" t="b">
        <v>0</v>
      </c>
    </row>
    <row r="79">
      <c r="A79" t="n">
        <v>134</v>
      </c>
      <c r="B79" t="inlineStr">
        <is>
          <t>SC</t>
        </is>
      </c>
      <c r="C79" t="b">
        <v>0</v>
      </c>
      <c r="D79" t="inlineStr">
        <is>
          <t>SC</t>
        </is>
      </c>
      <c r="E79" t="b">
        <v>0</v>
      </c>
      <c r="F79" t="b">
        <v>1</v>
      </c>
    </row>
    <row r="80">
      <c r="A80" t="n">
        <v>135</v>
      </c>
      <c r="B80" t="inlineStr">
        <is>
          <t>SC</t>
        </is>
      </c>
      <c r="C80" t="b">
        <v>0</v>
      </c>
      <c r="D80" t="inlineStr">
        <is>
          <t>SC</t>
        </is>
      </c>
      <c r="E80" t="b">
        <v>0</v>
      </c>
      <c r="F80" t="b">
        <v>1</v>
      </c>
    </row>
    <row r="81">
      <c r="A81" t="n">
        <v>136</v>
      </c>
      <c r="B81" t="inlineStr">
        <is>
          <t>PPG</t>
        </is>
      </c>
      <c r="C81" t="b">
        <v>0</v>
      </c>
      <c r="D81" t="inlineStr">
        <is>
          <t>PPG</t>
        </is>
      </c>
      <c r="E81" t="b">
        <v>0</v>
      </c>
      <c r="F81" t="b">
        <v>1</v>
      </c>
    </row>
    <row r="82">
      <c r="A82" t="n">
        <v>137</v>
      </c>
      <c r="B82" t="inlineStr">
        <is>
          <t>SC</t>
        </is>
      </c>
      <c r="C82" t="b">
        <v>0</v>
      </c>
      <c r="D82" t="inlineStr">
        <is>
          <t>SC</t>
        </is>
      </c>
      <c r="E82" t="b">
        <v>0</v>
      </c>
      <c r="F82" t="b">
        <v>1</v>
      </c>
    </row>
    <row r="83">
      <c r="A83" t="n">
        <v>142</v>
      </c>
      <c r="B83" t="inlineStr">
        <is>
          <t>PS</t>
        </is>
      </c>
      <c r="C83" t="b">
        <v>0</v>
      </c>
      <c r="D83" t="inlineStr">
        <is>
          <t>SC</t>
        </is>
      </c>
      <c r="E83" t="b">
        <v>0</v>
      </c>
      <c r="F83" t="b">
        <v>0</v>
      </c>
    </row>
    <row r="84">
      <c r="A84" t="n">
        <v>143</v>
      </c>
      <c r="B84" t="inlineStr">
        <is>
          <t>PS</t>
        </is>
      </c>
      <c r="C84" t="b">
        <v>0</v>
      </c>
      <c r="D84" t="inlineStr">
        <is>
          <t>PS</t>
        </is>
      </c>
      <c r="E84" t="b">
        <v>0</v>
      </c>
      <c r="F84" t="b">
        <v>1</v>
      </c>
    </row>
    <row r="85">
      <c r="A85" t="n">
        <v>144</v>
      </c>
      <c r="B85" t="inlineStr">
        <is>
          <t>SC</t>
        </is>
      </c>
      <c r="C85" t="b">
        <v>0</v>
      </c>
      <c r="D85" t="inlineStr">
        <is>
          <t>SC</t>
        </is>
      </c>
      <c r="E85" t="b">
        <v>0</v>
      </c>
      <c r="F85" t="b">
        <v>1</v>
      </c>
    </row>
    <row r="86">
      <c r="A86" t="n">
        <v>145</v>
      </c>
      <c r="B86" t="inlineStr">
        <is>
          <t>PS</t>
        </is>
      </c>
      <c r="C86" t="b">
        <v>0</v>
      </c>
      <c r="D86" t="inlineStr">
        <is>
          <t>SC</t>
        </is>
      </c>
      <c r="E86" t="b">
        <v>0</v>
      </c>
      <c r="F86" t="b">
        <v>0</v>
      </c>
    </row>
    <row r="87">
      <c r="A87" t="n">
        <v>146</v>
      </c>
      <c r="B87" t="inlineStr">
        <is>
          <t>PPG</t>
        </is>
      </c>
      <c r="C87" t="b">
        <v>0</v>
      </c>
      <c r="D87" t="inlineStr">
        <is>
          <t>PPG</t>
        </is>
      </c>
      <c r="E87" t="b">
        <v>0</v>
      </c>
      <c r="F87" t="b">
        <v>1</v>
      </c>
    </row>
    <row r="88">
      <c r="A88" t="n">
        <v>152</v>
      </c>
      <c r="B88" t="inlineStr">
        <is>
          <t>PS</t>
        </is>
      </c>
      <c r="C88" t="b">
        <v>0</v>
      </c>
      <c r="D88" t="inlineStr">
        <is>
          <t>PS</t>
        </is>
      </c>
      <c r="E88" t="b">
        <v>0</v>
      </c>
      <c r="F88" t="b">
        <v>1</v>
      </c>
    </row>
    <row r="89">
      <c r="A89" t="n">
        <v>153</v>
      </c>
      <c r="B89" t="inlineStr">
        <is>
          <t>PS</t>
        </is>
      </c>
      <c r="C89" t="b">
        <v>0</v>
      </c>
      <c r="D89" t="inlineStr">
        <is>
          <t>PS</t>
        </is>
      </c>
      <c r="E89" t="b">
        <v>0</v>
      </c>
      <c r="F89" t="b">
        <v>1</v>
      </c>
    </row>
    <row r="90">
      <c r="A90" t="n">
        <v>154</v>
      </c>
      <c r="B90" t="inlineStr">
        <is>
          <t>SC</t>
        </is>
      </c>
      <c r="C90" t="b">
        <v>0</v>
      </c>
      <c r="D90" t="inlineStr">
        <is>
          <t>SC</t>
        </is>
      </c>
      <c r="E90" t="b">
        <v>0</v>
      </c>
      <c r="F90" t="b">
        <v>1</v>
      </c>
    </row>
    <row r="91">
      <c r="A91" t="n">
        <v>159</v>
      </c>
      <c r="B91" t="inlineStr">
        <is>
          <t>SC</t>
        </is>
      </c>
      <c r="C91" t="b">
        <v>0</v>
      </c>
      <c r="D91" t="inlineStr">
        <is>
          <t>SC</t>
        </is>
      </c>
      <c r="E91" t="b">
        <v>0</v>
      </c>
      <c r="F91" t="b">
        <v>1</v>
      </c>
    </row>
    <row r="92">
      <c r="A92" t="n">
        <v>160</v>
      </c>
      <c r="B92" t="inlineStr">
        <is>
          <t>SC</t>
        </is>
      </c>
      <c r="C92" t="b">
        <v>0</v>
      </c>
      <c r="D92" t="inlineStr">
        <is>
          <t>PPG</t>
        </is>
      </c>
      <c r="E92" t="b">
        <v>0</v>
      </c>
      <c r="F92" t="b">
        <v>0</v>
      </c>
    </row>
    <row r="93">
      <c r="A93" t="n">
        <v>162</v>
      </c>
      <c r="B93" t="inlineStr">
        <is>
          <t>SC</t>
        </is>
      </c>
      <c r="C93" t="b">
        <v>0</v>
      </c>
      <c r="D93" t="inlineStr">
        <is>
          <t>PPG</t>
        </is>
      </c>
      <c r="E93" t="b">
        <v>0</v>
      </c>
      <c r="F93" t="b">
        <v>0</v>
      </c>
    </row>
    <row r="94">
      <c r="A94" t="n">
        <v>163</v>
      </c>
      <c r="B94" t="inlineStr">
        <is>
          <t>SC</t>
        </is>
      </c>
      <c r="C94" t="b">
        <v>0</v>
      </c>
      <c r="D94" t="inlineStr">
        <is>
          <t>PPG</t>
        </is>
      </c>
      <c r="E94" t="b">
        <v>0</v>
      </c>
      <c r="F94" t="b">
        <v>0</v>
      </c>
    </row>
    <row r="95">
      <c r="A95" t="n">
        <v>164</v>
      </c>
      <c r="B95" t="inlineStr">
        <is>
          <t>SC</t>
        </is>
      </c>
      <c r="C95" t="b">
        <v>0</v>
      </c>
      <c r="D95" t="inlineStr">
        <is>
          <t>PPG</t>
        </is>
      </c>
      <c r="E95" t="b">
        <v>0</v>
      </c>
      <c r="F95" t="b">
        <v>0</v>
      </c>
    </row>
    <row r="96">
      <c r="A96" t="n">
        <v>165</v>
      </c>
      <c r="B96" t="inlineStr">
        <is>
          <t>SC</t>
        </is>
      </c>
      <c r="C96" t="b">
        <v>0</v>
      </c>
      <c r="D96" t="inlineStr">
        <is>
          <t>PPG</t>
        </is>
      </c>
      <c r="E96" t="b">
        <v>0</v>
      </c>
      <c r="F96" t="b">
        <v>0</v>
      </c>
    </row>
    <row r="97">
      <c r="A97" t="n">
        <v>166</v>
      </c>
      <c r="B97" t="inlineStr">
        <is>
          <t>SC</t>
        </is>
      </c>
      <c r="C97" t="b">
        <v>0</v>
      </c>
      <c r="D97" t="inlineStr">
        <is>
          <t>PPG</t>
        </is>
      </c>
      <c r="E97" t="b">
        <v>1</v>
      </c>
      <c r="F97" t="b">
        <v>0</v>
      </c>
    </row>
    <row r="98">
      <c r="A98" t="n">
        <v>167</v>
      </c>
      <c r="B98" t="inlineStr">
        <is>
          <t>SC</t>
        </is>
      </c>
      <c r="C98" t="b">
        <v>0</v>
      </c>
      <c r="D98" t="inlineStr">
        <is>
          <t>PPG</t>
        </is>
      </c>
      <c r="E98" t="b">
        <v>0</v>
      </c>
      <c r="F98" t="b">
        <v>0</v>
      </c>
    </row>
    <row r="99">
      <c r="A99" t="n">
        <v>171</v>
      </c>
      <c r="B99" t="inlineStr">
        <is>
          <t>SC</t>
        </is>
      </c>
      <c r="C99" t="b">
        <v>0</v>
      </c>
      <c r="D99" t="inlineStr">
        <is>
          <t>SC</t>
        </is>
      </c>
      <c r="E99" t="b">
        <v>0</v>
      </c>
      <c r="F99" t="b">
        <v>1</v>
      </c>
    </row>
    <row r="100">
      <c r="A100" t="n">
        <v>172</v>
      </c>
      <c r="B100" t="inlineStr">
        <is>
          <t>SC</t>
        </is>
      </c>
      <c r="C100" t="b">
        <v>0</v>
      </c>
      <c r="D100" t="inlineStr">
        <is>
          <t>SC</t>
        </is>
      </c>
      <c r="E100" t="b">
        <v>0</v>
      </c>
      <c r="F100" t="b">
        <v>1</v>
      </c>
    </row>
    <row r="101">
      <c r="A101" t="n">
        <v>173</v>
      </c>
      <c r="B101" t="inlineStr">
        <is>
          <t>SC</t>
        </is>
      </c>
      <c r="C101" t="b">
        <v>0</v>
      </c>
      <c r="D101" t="inlineStr">
        <is>
          <t>SC</t>
        </is>
      </c>
      <c r="E101" t="b">
        <v>0</v>
      </c>
      <c r="F101" t="b">
        <v>1</v>
      </c>
    </row>
    <row r="102">
      <c r="A102" t="n">
        <v>174</v>
      </c>
      <c r="B102" t="inlineStr">
        <is>
          <t>PPG</t>
        </is>
      </c>
      <c r="C102" t="b">
        <v>0</v>
      </c>
      <c r="D102" t="inlineStr">
        <is>
          <t>PPG</t>
        </is>
      </c>
      <c r="E102" t="b">
        <v>0</v>
      </c>
      <c r="F102" t="b">
        <v>1</v>
      </c>
    </row>
    <row r="103">
      <c r="A103" t="n">
        <v>175</v>
      </c>
      <c r="B103" t="inlineStr">
        <is>
          <t>SC</t>
        </is>
      </c>
      <c r="C103" t="b">
        <v>0</v>
      </c>
      <c r="D103" t="inlineStr">
        <is>
          <t>SC</t>
        </is>
      </c>
      <c r="E103" t="b">
        <v>0</v>
      </c>
      <c r="F103" t="b">
        <v>1</v>
      </c>
    </row>
    <row r="104">
      <c r="A104" t="n">
        <v>176</v>
      </c>
      <c r="B104" t="inlineStr">
        <is>
          <t>SC</t>
        </is>
      </c>
      <c r="C104" t="b">
        <v>0</v>
      </c>
      <c r="D104" t="inlineStr">
        <is>
          <t>SC</t>
        </is>
      </c>
      <c r="E104" t="b">
        <v>0</v>
      </c>
      <c r="F104" t="b">
        <v>1</v>
      </c>
    </row>
    <row r="105">
      <c r="A105" t="n">
        <v>177</v>
      </c>
      <c r="B105" t="inlineStr">
        <is>
          <t>SC</t>
        </is>
      </c>
      <c r="C105" t="b">
        <v>0</v>
      </c>
      <c r="D105" t="inlineStr">
        <is>
          <t>SC</t>
        </is>
      </c>
      <c r="E105" t="b">
        <v>0</v>
      </c>
      <c r="F105" t="b">
        <v>1</v>
      </c>
    </row>
    <row r="106">
      <c r="A106" t="n">
        <v>178</v>
      </c>
      <c r="B106" t="inlineStr">
        <is>
          <t>SC</t>
        </is>
      </c>
      <c r="C106" t="b">
        <v>0</v>
      </c>
      <c r="D106" t="inlineStr">
        <is>
          <t>SC</t>
        </is>
      </c>
      <c r="E106" t="b">
        <v>0</v>
      </c>
      <c r="F106" t="b">
        <v>1</v>
      </c>
    </row>
    <row r="107">
      <c r="A107" t="n">
        <v>186</v>
      </c>
      <c r="B107" t="inlineStr">
        <is>
          <t>SC</t>
        </is>
      </c>
      <c r="C107" t="b">
        <v>0</v>
      </c>
      <c r="D107" t="inlineStr">
        <is>
          <t>PPG</t>
        </is>
      </c>
      <c r="E107" t="b">
        <v>0</v>
      </c>
      <c r="F107" t="b">
        <v>0</v>
      </c>
    </row>
    <row r="108">
      <c r="A108" t="n">
        <v>187</v>
      </c>
      <c r="B108" t="inlineStr">
        <is>
          <t>PPG</t>
        </is>
      </c>
      <c r="C108" t="b">
        <v>0</v>
      </c>
      <c r="D108" t="inlineStr">
        <is>
          <t>PPG</t>
        </is>
      </c>
      <c r="E108" t="b">
        <v>0</v>
      </c>
      <c r="F108" t="b">
        <v>1</v>
      </c>
    </row>
    <row r="109">
      <c r="A109" t="n">
        <v>188</v>
      </c>
      <c r="B109" t="inlineStr">
        <is>
          <t>SC</t>
        </is>
      </c>
      <c r="C109" t="b">
        <v>0</v>
      </c>
      <c r="D109" t="inlineStr">
        <is>
          <t>SC</t>
        </is>
      </c>
      <c r="E109" t="b">
        <v>0</v>
      </c>
      <c r="F109" t="b">
        <v>1</v>
      </c>
    </row>
    <row r="110">
      <c r="A110" t="n">
        <v>190</v>
      </c>
      <c r="B110" t="inlineStr">
        <is>
          <t>PS</t>
        </is>
      </c>
      <c r="C110" t="b">
        <v>0</v>
      </c>
      <c r="D110" t="inlineStr">
        <is>
          <t>PS</t>
        </is>
      </c>
      <c r="E110" t="b">
        <v>0</v>
      </c>
      <c r="F110" t="b">
        <v>1</v>
      </c>
    </row>
    <row r="111">
      <c r="A111" t="n">
        <v>191</v>
      </c>
      <c r="B111" t="inlineStr">
        <is>
          <t>PS</t>
        </is>
      </c>
      <c r="C111" t="b">
        <v>1</v>
      </c>
      <c r="D111" t="inlineStr">
        <is>
          <t>PS</t>
        </is>
      </c>
      <c r="E111" t="b">
        <v>0</v>
      </c>
      <c r="F111" t="b">
        <v>1</v>
      </c>
    </row>
    <row r="112">
      <c r="A112" t="n">
        <v>197</v>
      </c>
      <c r="B112" t="inlineStr">
        <is>
          <t>PS</t>
        </is>
      </c>
      <c r="C112" t="b">
        <v>0</v>
      </c>
      <c r="D112" t="inlineStr">
        <is>
          <t>PS</t>
        </is>
      </c>
      <c r="E112" t="b">
        <v>0</v>
      </c>
      <c r="F112" t="b">
        <v>1</v>
      </c>
    </row>
    <row r="113">
      <c r="A113" t="n">
        <v>198</v>
      </c>
      <c r="B113" t="inlineStr">
        <is>
          <t>SC</t>
        </is>
      </c>
      <c r="C113" t="b">
        <v>0</v>
      </c>
      <c r="D113" t="inlineStr">
        <is>
          <t>PS</t>
        </is>
      </c>
      <c r="E113" t="b">
        <v>1</v>
      </c>
      <c r="F113" t="b">
        <v>0</v>
      </c>
    </row>
    <row r="114">
      <c r="A114" t="n">
        <v>200</v>
      </c>
      <c r="B114" t="inlineStr">
        <is>
          <t>SC</t>
        </is>
      </c>
      <c r="C114" t="b">
        <v>0</v>
      </c>
      <c r="D114" t="inlineStr">
        <is>
          <t>SC</t>
        </is>
      </c>
      <c r="E114" t="b">
        <v>0</v>
      </c>
      <c r="F114" t="b">
        <v>1</v>
      </c>
    </row>
    <row r="115">
      <c r="A115" t="n">
        <v>201</v>
      </c>
      <c r="B115" t="inlineStr">
        <is>
          <t>PS</t>
        </is>
      </c>
      <c r="C115" t="b">
        <v>0</v>
      </c>
      <c r="D115" t="inlineStr">
        <is>
          <t>PS</t>
        </is>
      </c>
      <c r="E115" t="b">
        <v>0</v>
      </c>
      <c r="F115" t="b">
        <v>1</v>
      </c>
    </row>
    <row r="116">
      <c r="A116" t="n">
        <v>202</v>
      </c>
      <c r="B116" t="inlineStr">
        <is>
          <t>PS</t>
        </is>
      </c>
      <c r="C116" t="b">
        <v>0</v>
      </c>
      <c r="D116" t="inlineStr">
        <is>
          <t>PS</t>
        </is>
      </c>
      <c r="E116" t="b">
        <v>0</v>
      </c>
      <c r="F116" t="b">
        <v>1</v>
      </c>
    </row>
    <row r="117">
      <c r="A117" t="n">
        <v>209</v>
      </c>
      <c r="B117" t="inlineStr">
        <is>
          <t>PS</t>
        </is>
      </c>
      <c r="C117" t="b">
        <v>0</v>
      </c>
      <c r="D117" t="inlineStr">
        <is>
          <t>PS</t>
        </is>
      </c>
      <c r="E117" t="b">
        <v>0</v>
      </c>
      <c r="F117" t="b">
        <v>1</v>
      </c>
    </row>
    <row r="118">
      <c r="A118" t="n">
        <v>210</v>
      </c>
      <c r="B118" t="inlineStr">
        <is>
          <t>SC</t>
        </is>
      </c>
      <c r="C118" t="b">
        <v>0</v>
      </c>
      <c r="D118" t="inlineStr">
        <is>
          <t>PPG</t>
        </is>
      </c>
      <c r="E118" t="b">
        <v>1</v>
      </c>
      <c r="F118" t="b">
        <v>0</v>
      </c>
    </row>
    <row r="119">
      <c r="A119" t="n">
        <v>211</v>
      </c>
      <c r="B119" t="inlineStr">
        <is>
          <t>PPG</t>
        </is>
      </c>
      <c r="C119" t="b">
        <v>0</v>
      </c>
      <c r="D119" t="inlineStr">
        <is>
          <t>PPG</t>
        </is>
      </c>
      <c r="E119" t="b">
        <v>0</v>
      </c>
      <c r="F119" t="b">
        <v>1</v>
      </c>
    </row>
    <row r="120">
      <c r="A120" t="n">
        <v>214</v>
      </c>
      <c r="B120" t="inlineStr">
        <is>
          <t>PPG</t>
        </is>
      </c>
      <c r="C120" t="b">
        <v>0</v>
      </c>
      <c r="D120" t="inlineStr">
        <is>
          <t>PPG</t>
        </is>
      </c>
      <c r="E120" t="b">
        <v>0</v>
      </c>
      <c r="F120" t="b">
        <v>1</v>
      </c>
    </row>
    <row r="121">
      <c r="A121" t="n">
        <v>221</v>
      </c>
      <c r="B121" t="inlineStr">
        <is>
          <t>PPG</t>
        </is>
      </c>
      <c r="C121" t="b">
        <v>0</v>
      </c>
      <c r="D121" t="inlineStr">
        <is>
          <t>PS</t>
        </is>
      </c>
      <c r="E121" t="b">
        <v>0</v>
      </c>
      <c r="F121" t="b">
        <v>0</v>
      </c>
    </row>
    <row r="122">
      <c r="A122" t="n">
        <v>228</v>
      </c>
      <c r="B122" t="inlineStr">
        <is>
          <t>PPG</t>
        </is>
      </c>
      <c r="C122" t="b">
        <v>0</v>
      </c>
      <c r="D122" t="inlineStr">
        <is>
          <t>PS</t>
        </is>
      </c>
      <c r="E122" t="b">
        <v>0</v>
      </c>
      <c r="F122" t="b">
        <v>0</v>
      </c>
    </row>
    <row r="123">
      <c r="A123" t="n">
        <v>235</v>
      </c>
      <c r="B123" t="inlineStr">
        <is>
          <t>SC</t>
        </is>
      </c>
      <c r="C123" t="b">
        <v>0</v>
      </c>
      <c r="D123" t="inlineStr">
        <is>
          <t>SC</t>
        </is>
      </c>
      <c r="E123" t="b">
        <v>0</v>
      </c>
      <c r="F123" t="b">
        <v>1</v>
      </c>
    </row>
    <row r="124">
      <c r="A124" t="n">
        <v>240</v>
      </c>
      <c r="B124" t="inlineStr">
        <is>
          <t>SC</t>
        </is>
      </c>
      <c r="C124" t="b">
        <v>0</v>
      </c>
      <c r="D124" t="inlineStr">
        <is>
          <t>PS</t>
        </is>
      </c>
      <c r="E124" t="b">
        <v>0</v>
      </c>
      <c r="F124" t="b">
        <v>0</v>
      </c>
    </row>
    <row r="125">
      <c r="A125" t="n">
        <v>241</v>
      </c>
      <c r="B125" t="inlineStr">
        <is>
          <t>SC</t>
        </is>
      </c>
      <c r="C125" t="b">
        <v>0</v>
      </c>
      <c r="D125" t="inlineStr">
        <is>
          <t>SC</t>
        </is>
      </c>
      <c r="E125" t="b">
        <v>0</v>
      </c>
      <c r="F125" t="b">
        <v>1</v>
      </c>
    </row>
    <row r="126">
      <c r="A126" t="n">
        <v>245</v>
      </c>
      <c r="B126" t="inlineStr">
        <is>
          <t>DS</t>
        </is>
      </c>
      <c r="C126" t="b">
        <v>0</v>
      </c>
      <c r="D126" t="inlineStr">
        <is>
          <t>DS</t>
        </is>
      </c>
      <c r="E126" t="b">
        <v>0</v>
      </c>
      <c r="F126" t="b">
        <v>1</v>
      </c>
    </row>
    <row r="127">
      <c r="A127" t="n">
        <v>247</v>
      </c>
      <c r="B127" t="inlineStr">
        <is>
          <t>SC</t>
        </is>
      </c>
      <c r="C127" t="b">
        <v>0</v>
      </c>
      <c r="D127" t="inlineStr">
        <is>
          <t>PPG</t>
        </is>
      </c>
      <c r="E127" t="b">
        <v>0</v>
      </c>
      <c r="F127" t="b">
        <v>0</v>
      </c>
    </row>
    <row r="128">
      <c r="A128" t="n">
        <v>289</v>
      </c>
      <c r="B128" t="inlineStr">
        <is>
          <t>PPG</t>
        </is>
      </c>
      <c r="C128" t="b">
        <v>0</v>
      </c>
      <c r="D128" t="inlineStr">
        <is>
          <t>PPG</t>
        </is>
      </c>
      <c r="E128" t="b">
        <v>0</v>
      </c>
      <c r="F128" t="b">
        <v>1</v>
      </c>
    </row>
    <row r="129">
      <c r="A129" t="n">
        <v>290</v>
      </c>
      <c r="B129" t="inlineStr">
        <is>
          <t>PS</t>
        </is>
      </c>
      <c r="C129" t="b">
        <v>1</v>
      </c>
      <c r="D129" t="inlineStr">
        <is>
          <t>PS</t>
        </is>
      </c>
      <c r="E129" t="b">
        <v>0</v>
      </c>
      <c r="F129" t="b">
        <v>1</v>
      </c>
    </row>
    <row r="130">
      <c r="A130" t="n">
        <v>291</v>
      </c>
      <c r="B130" t="inlineStr">
        <is>
          <t>PS</t>
        </is>
      </c>
      <c r="C130" t="b">
        <v>1</v>
      </c>
      <c r="D130" t="inlineStr">
        <is>
          <t>PPG</t>
        </is>
      </c>
      <c r="E130" t="b">
        <v>0</v>
      </c>
      <c r="F130" t="b">
        <v>0</v>
      </c>
    </row>
    <row r="131">
      <c r="A131" t="n">
        <v>292</v>
      </c>
      <c r="B131" t="inlineStr">
        <is>
          <t>PPG</t>
        </is>
      </c>
      <c r="C131" t="b">
        <v>0</v>
      </c>
      <c r="D131" t="inlineStr">
        <is>
          <t>PS</t>
        </is>
      </c>
      <c r="E131" t="b">
        <v>0</v>
      </c>
      <c r="F131" t="b">
        <v>0</v>
      </c>
    </row>
    <row r="132">
      <c r="A132" t="n">
        <v>293</v>
      </c>
      <c r="B132" t="inlineStr">
        <is>
          <t>PPG</t>
        </is>
      </c>
      <c r="C132" t="b">
        <v>0</v>
      </c>
      <c r="D132" t="inlineStr">
        <is>
          <t>PS</t>
        </is>
      </c>
      <c r="E132" t="b">
        <v>0</v>
      </c>
      <c r="F132" t="b">
        <v>0</v>
      </c>
    </row>
    <row r="133">
      <c r="A133" t="n">
        <v>294</v>
      </c>
      <c r="B133" t="inlineStr">
        <is>
          <t>PS</t>
        </is>
      </c>
      <c r="C133" t="b">
        <v>0</v>
      </c>
      <c r="D133" t="inlineStr">
        <is>
          <t>PS</t>
        </is>
      </c>
      <c r="E133" t="b">
        <v>0</v>
      </c>
      <c r="F133" t="b">
        <v>1</v>
      </c>
    </row>
    <row r="134">
      <c r="A134" t="n">
        <v>295</v>
      </c>
      <c r="B134" t="inlineStr">
        <is>
          <t>PS</t>
        </is>
      </c>
      <c r="C134" t="b">
        <v>0</v>
      </c>
      <c r="D134" t="inlineStr">
        <is>
          <t>PS</t>
        </is>
      </c>
      <c r="E134" t="b">
        <v>0</v>
      </c>
      <c r="F134" t="b">
        <v>1</v>
      </c>
    </row>
    <row r="135">
      <c r="A135" t="n">
        <v>296</v>
      </c>
      <c r="B135" t="inlineStr">
        <is>
          <t>PPG</t>
        </is>
      </c>
      <c r="C135" t="b">
        <v>0</v>
      </c>
      <c r="D135" t="inlineStr">
        <is>
          <t>PS</t>
        </is>
      </c>
      <c r="E135" t="b">
        <v>0</v>
      </c>
      <c r="F135" t="b">
        <v>0</v>
      </c>
    </row>
    <row r="136">
      <c r="A136" t="n">
        <v>297</v>
      </c>
      <c r="B136" t="inlineStr">
        <is>
          <t>PS</t>
        </is>
      </c>
      <c r="C136" t="b">
        <v>0</v>
      </c>
      <c r="D136" t="inlineStr">
        <is>
          <t>PS</t>
        </is>
      </c>
      <c r="E136" t="b">
        <v>0</v>
      </c>
      <c r="F136" t="b">
        <v>1</v>
      </c>
    </row>
    <row r="137">
      <c r="A137" t="n">
        <v>299</v>
      </c>
      <c r="B137" t="inlineStr">
        <is>
          <t>PPG</t>
        </is>
      </c>
      <c r="C137" t="b">
        <v>0</v>
      </c>
      <c r="D137" t="inlineStr">
        <is>
          <t>PPG</t>
        </is>
      </c>
      <c r="E137" t="b">
        <v>0</v>
      </c>
      <c r="F137" t="b">
        <v>1</v>
      </c>
    </row>
    <row r="138">
      <c r="A138" t="n">
        <v>300</v>
      </c>
      <c r="B138" t="inlineStr">
        <is>
          <t>PS</t>
        </is>
      </c>
      <c r="C138" t="b">
        <v>0</v>
      </c>
      <c r="D138" t="inlineStr">
        <is>
          <t>PS</t>
        </is>
      </c>
      <c r="E138" t="b">
        <v>0</v>
      </c>
      <c r="F138" t="b">
        <v>1</v>
      </c>
    </row>
    <row r="139">
      <c r="A139" t="n">
        <v>302</v>
      </c>
      <c r="B139" t="inlineStr">
        <is>
          <t>PS</t>
        </is>
      </c>
      <c r="C139" t="b">
        <v>0</v>
      </c>
      <c r="D139" t="inlineStr">
        <is>
          <t>PS</t>
        </is>
      </c>
      <c r="E139" t="b">
        <v>0</v>
      </c>
      <c r="F139" t="b">
        <v>1</v>
      </c>
    </row>
    <row r="140">
      <c r="A140" t="n">
        <v>303</v>
      </c>
      <c r="B140" t="inlineStr">
        <is>
          <t>PPG</t>
        </is>
      </c>
      <c r="C140" t="b">
        <v>0</v>
      </c>
      <c r="D140" t="inlineStr">
        <is>
          <t>PS</t>
        </is>
      </c>
      <c r="E140" t="b">
        <v>0</v>
      </c>
      <c r="F140" t="b">
        <v>0</v>
      </c>
    </row>
    <row r="141">
      <c r="A141" t="n">
        <v>305</v>
      </c>
      <c r="B141" t="inlineStr">
        <is>
          <t>PPG</t>
        </is>
      </c>
      <c r="C141" t="b">
        <v>0</v>
      </c>
      <c r="D141" t="inlineStr">
        <is>
          <t>PS</t>
        </is>
      </c>
      <c r="E141" t="b">
        <v>0</v>
      </c>
      <c r="F141" t="b">
        <v>0</v>
      </c>
    </row>
    <row r="142">
      <c r="A142" t="n">
        <v>307</v>
      </c>
      <c r="B142" t="inlineStr">
        <is>
          <t>PPG</t>
        </is>
      </c>
      <c r="C142" t="b">
        <v>0</v>
      </c>
      <c r="D142" t="inlineStr">
        <is>
          <t>PS</t>
        </is>
      </c>
      <c r="E142" t="b">
        <v>0</v>
      </c>
      <c r="F142" t="b">
        <v>0</v>
      </c>
    </row>
    <row r="143">
      <c r="A143" t="n">
        <v>308</v>
      </c>
      <c r="B143" t="inlineStr">
        <is>
          <t>PPG</t>
        </is>
      </c>
      <c r="C143" t="b">
        <v>0</v>
      </c>
      <c r="D143" t="inlineStr">
        <is>
          <t>PS</t>
        </is>
      </c>
      <c r="E143" t="b">
        <v>0</v>
      </c>
      <c r="F143" t="b">
        <v>0</v>
      </c>
    </row>
    <row r="144">
      <c r="A144" t="n">
        <v>309</v>
      </c>
      <c r="B144" t="inlineStr">
        <is>
          <t>PPG</t>
        </is>
      </c>
      <c r="C144" t="b">
        <v>0</v>
      </c>
      <c r="D144" t="inlineStr">
        <is>
          <t>PS</t>
        </is>
      </c>
      <c r="E144" t="b">
        <v>0</v>
      </c>
      <c r="F144" t="b">
        <v>0</v>
      </c>
    </row>
    <row r="145">
      <c r="A145" t="n">
        <v>310</v>
      </c>
      <c r="B145" t="inlineStr">
        <is>
          <t>PS</t>
        </is>
      </c>
      <c r="C145" t="b">
        <v>0</v>
      </c>
      <c r="D145" t="inlineStr">
        <is>
          <t>PS</t>
        </is>
      </c>
      <c r="E145" t="b">
        <v>0</v>
      </c>
      <c r="F145" t="b">
        <v>1</v>
      </c>
    </row>
    <row r="146">
      <c r="A146" t="n">
        <v>312</v>
      </c>
      <c r="B146" t="inlineStr">
        <is>
          <t>PPG</t>
        </is>
      </c>
      <c r="C146" t="b">
        <v>0</v>
      </c>
      <c r="D146" t="inlineStr">
        <is>
          <t>PPG</t>
        </is>
      </c>
      <c r="E146" t="b">
        <v>0</v>
      </c>
      <c r="F146" t="b">
        <v>1</v>
      </c>
    </row>
    <row r="147">
      <c r="A147" t="n">
        <v>313</v>
      </c>
      <c r="B147" t="inlineStr">
        <is>
          <t>PS</t>
        </is>
      </c>
      <c r="C147" t="b">
        <v>0</v>
      </c>
      <c r="D147" t="inlineStr">
        <is>
          <t>PS</t>
        </is>
      </c>
      <c r="E147" t="b">
        <v>0</v>
      </c>
      <c r="F147" t="b">
        <v>1</v>
      </c>
    </row>
    <row r="148">
      <c r="A148" t="n">
        <v>315</v>
      </c>
      <c r="B148" t="inlineStr">
        <is>
          <t>PPG</t>
        </is>
      </c>
      <c r="C148" t="b">
        <v>0</v>
      </c>
      <c r="D148" t="inlineStr">
        <is>
          <t>PS</t>
        </is>
      </c>
      <c r="E148" t="b">
        <v>0</v>
      </c>
      <c r="F148" t="b">
        <v>0</v>
      </c>
    </row>
    <row r="149">
      <c r="A149" t="n">
        <v>322</v>
      </c>
      <c r="B149" t="inlineStr">
        <is>
          <t>PPG</t>
        </is>
      </c>
      <c r="C149" t="b">
        <v>0</v>
      </c>
      <c r="D149" t="inlineStr">
        <is>
          <t>PS</t>
        </is>
      </c>
      <c r="E149" t="b">
        <v>0</v>
      </c>
      <c r="F149" t="b">
        <v>0</v>
      </c>
    </row>
    <row r="150">
      <c r="A150" t="n">
        <v>323</v>
      </c>
      <c r="B150" t="inlineStr">
        <is>
          <t>PS</t>
        </is>
      </c>
      <c r="C150" t="b">
        <v>0</v>
      </c>
      <c r="D150" t="inlineStr">
        <is>
          <t>PS</t>
        </is>
      </c>
      <c r="E150" t="b">
        <v>0</v>
      </c>
      <c r="F150" t="b">
        <v>1</v>
      </c>
    </row>
    <row r="151">
      <c r="A151" t="n">
        <v>364</v>
      </c>
      <c r="B151" t="inlineStr">
        <is>
          <t>PPG</t>
        </is>
      </c>
      <c r="C151" t="b">
        <v>0</v>
      </c>
      <c r="D151" t="inlineStr">
        <is>
          <t>PPG</t>
        </is>
      </c>
      <c r="E151" t="b">
        <v>0</v>
      </c>
      <c r="F151" t="b">
        <v>1</v>
      </c>
    </row>
    <row r="152">
      <c r="A152" t="n">
        <v>375</v>
      </c>
      <c r="B152" t="inlineStr">
        <is>
          <t>PS</t>
        </is>
      </c>
      <c r="C152" t="b">
        <v>0</v>
      </c>
      <c r="D152" t="inlineStr">
        <is>
          <t>PS</t>
        </is>
      </c>
      <c r="E152" t="b">
        <v>0</v>
      </c>
      <c r="F152" t="b">
        <v>1</v>
      </c>
    </row>
    <row r="153">
      <c r="A153" t="n">
        <v>377</v>
      </c>
      <c r="B153" t="inlineStr">
        <is>
          <t>PS</t>
        </is>
      </c>
      <c r="C153" t="b">
        <v>0</v>
      </c>
      <c r="D153" t="inlineStr">
        <is>
          <t>PS</t>
        </is>
      </c>
      <c r="E153" t="b">
        <v>0</v>
      </c>
      <c r="F153" t="b">
        <v>1</v>
      </c>
    </row>
    <row r="154">
      <c r="A154" t="n">
        <v>383</v>
      </c>
      <c r="B154" t="inlineStr">
        <is>
          <t>PS</t>
        </is>
      </c>
      <c r="C154" t="b">
        <v>0</v>
      </c>
      <c r="D154" t="inlineStr">
        <is>
          <t>PS</t>
        </is>
      </c>
      <c r="E154" t="b">
        <v>0</v>
      </c>
      <c r="F154" t="b">
        <v>1</v>
      </c>
    </row>
    <row r="155">
      <c r="A155" t="n">
        <v>388</v>
      </c>
      <c r="B155" t="inlineStr">
        <is>
          <t>PS</t>
        </is>
      </c>
      <c r="C155" t="b">
        <v>0</v>
      </c>
      <c r="D155" t="inlineStr">
        <is>
          <t>PS</t>
        </is>
      </c>
      <c r="E155" t="b">
        <v>0</v>
      </c>
      <c r="F155" t="b">
        <v>1</v>
      </c>
    </row>
    <row r="156">
      <c r="A156" t="n">
        <v>391</v>
      </c>
      <c r="B156" t="inlineStr">
        <is>
          <t>PS</t>
        </is>
      </c>
      <c r="C156" t="b">
        <v>0</v>
      </c>
      <c r="D156" t="inlineStr">
        <is>
          <t>PS</t>
        </is>
      </c>
      <c r="E156" t="b">
        <v>0</v>
      </c>
      <c r="F156" t="b">
        <v>1</v>
      </c>
    </row>
    <row r="157">
      <c r="A157" t="n">
        <v>394</v>
      </c>
      <c r="B157" t="inlineStr">
        <is>
          <t>SC</t>
        </is>
      </c>
      <c r="C157" t="b">
        <v>0</v>
      </c>
      <c r="D157" t="inlineStr">
        <is>
          <t>SC</t>
        </is>
      </c>
      <c r="E157" t="b">
        <v>0</v>
      </c>
      <c r="F157" t="b">
        <v>1</v>
      </c>
    </row>
    <row r="158">
      <c r="A158" t="n">
        <v>395</v>
      </c>
      <c r="B158" t="inlineStr">
        <is>
          <t>PS</t>
        </is>
      </c>
      <c r="C158" t="b">
        <v>0</v>
      </c>
      <c r="D158" t="inlineStr">
        <is>
          <t>PS</t>
        </is>
      </c>
      <c r="E158" t="b">
        <v>0</v>
      </c>
      <c r="F158" t="b">
        <v>1</v>
      </c>
    </row>
    <row r="159">
      <c r="A159" t="n">
        <v>396</v>
      </c>
      <c r="B159" t="inlineStr">
        <is>
          <t>PS</t>
        </is>
      </c>
      <c r="C159" t="b">
        <v>0</v>
      </c>
      <c r="D159" t="inlineStr">
        <is>
          <t>PS</t>
        </is>
      </c>
      <c r="E159" t="b">
        <v>0</v>
      </c>
      <c r="F159" t="b">
        <v>1</v>
      </c>
    </row>
    <row r="160">
      <c r="A160" t="n">
        <v>397</v>
      </c>
      <c r="B160" t="inlineStr">
        <is>
          <t>PS</t>
        </is>
      </c>
      <c r="C160" t="b">
        <v>0</v>
      </c>
      <c r="D160" t="inlineStr">
        <is>
          <t>PS</t>
        </is>
      </c>
      <c r="E160" t="b">
        <v>0</v>
      </c>
      <c r="F160" t="b">
        <v>1</v>
      </c>
    </row>
    <row r="161">
      <c r="A161" t="n">
        <v>399</v>
      </c>
      <c r="B161" t="inlineStr">
        <is>
          <t>PS</t>
        </is>
      </c>
      <c r="C161" t="b">
        <v>0</v>
      </c>
      <c r="D161" t="inlineStr">
        <is>
          <t>DS</t>
        </is>
      </c>
      <c r="E161" t="b">
        <v>0</v>
      </c>
      <c r="F161" t="b">
        <v>0</v>
      </c>
    </row>
    <row r="162">
      <c r="A162" t="n">
        <v>400</v>
      </c>
      <c r="B162" t="inlineStr">
        <is>
          <t>PS</t>
        </is>
      </c>
      <c r="C162" t="b">
        <v>0</v>
      </c>
      <c r="D162" t="inlineStr">
        <is>
          <t>PS</t>
        </is>
      </c>
      <c r="E162" t="b">
        <v>0</v>
      </c>
      <c r="F162" t="b">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B2:G90"/>
  <sheetViews>
    <sheetView workbookViewId="0">
      <selection activeCell="A1" sqref="A1"/>
    </sheetView>
  </sheetViews>
  <sheetFormatPr baseColWidth="8" defaultRowHeight="15"/>
  <cols>
    <col width="3" customWidth="1" min="1" max="1"/>
    <col width="36" customWidth="1" min="2" max="2"/>
    <col width="11" customWidth="1" min="3" max="3"/>
    <col width="11" customWidth="1" min="4" max="4"/>
    <col width="11" customWidth="1" min="5" max="5"/>
    <col width="11" customWidth="1" min="6" max="6"/>
    <col width="12" customWidth="1" min="7" max="7"/>
  </cols>
  <sheetData>
    <row r="2">
      <c r="B2" s="1" t="inlineStr">
        <is>
          <t>Chunk-level agreement — 363466802_2021</t>
        </is>
      </c>
    </row>
    <row r="3">
      <c r="B3" s="2" t="inlineStr">
        <is>
          <t>N=161 chunks coded by both coders. Ties: 7 human, 3 AI (broken PS&gt;DS&gt;PPG&gt;SC).</t>
        </is>
      </c>
    </row>
    <row r="7">
      <c r="B7" s="3" t="inlineStr">
        <is>
          <t>A. Full sample</t>
        </is>
      </c>
    </row>
    <row r="8">
      <c r="C8" s="6" t="inlineStr">
        <is>
          <t>AI: PS</t>
        </is>
      </c>
      <c r="D8" s="6" t="inlineStr">
        <is>
          <t>AI: DS</t>
        </is>
      </c>
      <c r="E8" s="6" t="inlineStr">
        <is>
          <t>AI: PPG</t>
        </is>
      </c>
      <c r="F8" s="6" t="inlineStr">
        <is>
          <t>AI: SC</t>
        </is>
      </c>
      <c r="G8" s="6" t="inlineStr">
        <is>
          <t>Row total</t>
        </is>
      </c>
    </row>
    <row r="9">
      <c r="B9" s="4" t="inlineStr">
        <is>
          <t>Human: PS</t>
        </is>
      </c>
      <c r="C9">
        <f>COUNTIFS('R1 Chunk Dominant'!$B$2:$B$162,"PS",'R1 Chunk Dominant'!$D$2:$D$162,"PS")</f>
        <v/>
      </c>
      <c r="D9">
        <f>COUNTIFS('R1 Chunk Dominant'!$B$2:$B$162,"PS",'R1 Chunk Dominant'!$D$2:$D$162,"DS")</f>
        <v/>
      </c>
      <c r="E9">
        <f>COUNTIFS('R1 Chunk Dominant'!$B$2:$B$162,"PS",'R1 Chunk Dominant'!$D$2:$D$162,"PPG")</f>
        <v/>
      </c>
      <c r="F9">
        <f>COUNTIFS('R1 Chunk Dominant'!$B$2:$B$162,"PS",'R1 Chunk Dominant'!$D$2:$D$162,"SC")</f>
        <v/>
      </c>
      <c r="G9">
        <f>SUM(C9:F9)</f>
        <v/>
      </c>
    </row>
    <row r="10">
      <c r="B10" s="4" t="inlineStr">
        <is>
          <t>Human: DS</t>
        </is>
      </c>
      <c r="C10">
        <f>COUNTIFS('R1 Chunk Dominant'!$B$2:$B$162,"DS",'R1 Chunk Dominant'!$D$2:$D$162,"PS")</f>
        <v/>
      </c>
      <c r="D10">
        <f>COUNTIFS('R1 Chunk Dominant'!$B$2:$B$162,"DS",'R1 Chunk Dominant'!$D$2:$D$162,"DS")</f>
        <v/>
      </c>
      <c r="E10">
        <f>COUNTIFS('R1 Chunk Dominant'!$B$2:$B$162,"DS",'R1 Chunk Dominant'!$D$2:$D$162,"PPG")</f>
        <v/>
      </c>
      <c r="F10">
        <f>COUNTIFS('R1 Chunk Dominant'!$B$2:$B$162,"DS",'R1 Chunk Dominant'!$D$2:$D$162,"SC")</f>
        <v/>
      </c>
      <c r="G10">
        <f>SUM(C10:F10)</f>
        <v/>
      </c>
    </row>
    <row r="11">
      <c r="B11" s="4" t="inlineStr">
        <is>
          <t>Human: PPG</t>
        </is>
      </c>
      <c r="C11">
        <f>COUNTIFS('R1 Chunk Dominant'!$B$2:$B$162,"PPG",'R1 Chunk Dominant'!$D$2:$D$162,"PS")</f>
        <v/>
      </c>
      <c r="D11">
        <f>COUNTIFS('R1 Chunk Dominant'!$B$2:$B$162,"PPG",'R1 Chunk Dominant'!$D$2:$D$162,"DS")</f>
        <v/>
      </c>
      <c r="E11">
        <f>COUNTIFS('R1 Chunk Dominant'!$B$2:$B$162,"PPG",'R1 Chunk Dominant'!$D$2:$D$162,"PPG")</f>
        <v/>
      </c>
      <c r="F11">
        <f>COUNTIFS('R1 Chunk Dominant'!$B$2:$B$162,"PPG",'R1 Chunk Dominant'!$D$2:$D$162,"SC")</f>
        <v/>
      </c>
      <c r="G11">
        <f>SUM(C11:F11)</f>
        <v/>
      </c>
    </row>
    <row r="12">
      <c r="B12" s="4" t="inlineStr">
        <is>
          <t>Human: SC</t>
        </is>
      </c>
      <c r="C12">
        <f>COUNTIFS('R1 Chunk Dominant'!$B$2:$B$162,"SC",'R1 Chunk Dominant'!$D$2:$D$162,"PS")</f>
        <v/>
      </c>
      <c r="D12">
        <f>COUNTIFS('R1 Chunk Dominant'!$B$2:$B$162,"SC",'R1 Chunk Dominant'!$D$2:$D$162,"DS")</f>
        <v/>
      </c>
      <c r="E12">
        <f>COUNTIFS('R1 Chunk Dominant'!$B$2:$B$162,"SC",'R1 Chunk Dominant'!$D$2:$D$162,"PPG")</f>
        <v/>
      </c>
      <c r="F12">
        <f>COUNTIFS('R1 Chunk Dominant'!$B$2:$B$162,"SC",'R1 Chunk Dominant'!$D$2:$D$162,"SC")</f>
        <v/>
      </c>
      <c r="G12">
        <f>SUM(C12:F12)</f>
        <v/>
      </c>
    </row>
    <row r="13">
      <c r="B13" s="3" t="inlineStr">
        <is>
          <t>Col total</t>
        </is>
      </c>
      <c r="C13">
        <f>SUM(C9:C12)</f>
        <v/>
      </c>
      <c r="D13">
        <f>SUM(D9:D12)</f>
        <v/>
      </c>
      <c r="E13">
        <f>SUM(E9:E12)</f>
        <v/>
      </c>
      <c r="F13">
        <f>SUM(F9:F12)</f>
        <v/>
      </c>
      <c r="G13">
        <f>SUM(G9:G12)</f>
        <v/>
      </c>
    </row>
    <row r="15">
      <c r="B15" s="4" t="inlineStr">
        <is>
          <t>Expected under independence</t>
        </is>
      </c>
    </row>
    <row r="16">
      <c r="C16">
        <f>$G9*C$13/$G$13</f>
        <v/>
      </c>
      <c r="D16">
        <f>$G9*D$13/$G$13</f>
        <v/>
      </c>
      <c r="E16">
        <f>$G9*E$13/$G$13</f>
        <v/>
      </c>
      <c r="F16">
        <f>$G9*F$13/$G$13</f>
        <v/>
      </c>
    </row>
    <row r="17">
      <c r="C17">
        <f>$G10*C$13/$G$13</f>
        <v/>
      </c>
      <c r="D17">
        <f>$G10*D$13/$G$13</f>
        <v/>
      </c>
      <c r="E17">
        <f>$G10*E$13/$G$13</f>
        <v/>
      </c>
      <c r="F17">
        <f>$G10*F$13/$G$13</f>
        <v/>
      </c>
    </row>
    <row r="18">
      <c r="C18">
        <f>$G11*C$13/$G$13</f>
        <v/>
      </c>
      <c r="D18">
        <f>$G11*D$13/$G$13</f>
        <v/>
      </c>
      <c r="E18">
        <f>$G11*E$13/$G$13</f>
        <v/>
      </c>
      <c r="F18">
        <f>$G11*F$13/$G$13</f>
        <v/>
      </c>
    </row>
    <row r="19">
      <c r="C19">
        <f>$G12*C$13/$G$13</f>
        <v/>
      </c>
      <c r="D19">
        <f>$G12*D$13/$G$13</f>
        <v/>
      </c>
      <c r="E19">
        <f>$G12*E$13/$G$13</f>
        <v/>
      </c>
      <c r="F19">
        <f>$G12*F$13/$G$13</f>
        <v/>
      </c>
    </row>
    <row r="21">
      <c r="B21" s="4" t="inlineStr">
        <is>
          <t>Raw agreement (% chunks, matching dominant logic)</t>
        </is>
      </c>
      <c r="G21" s="7">
        <f>(C9+D10+E11+F12)/G13</f>
        <v/>
      </c>
    </row>
    <row r="22">
      <c r="B22" s="9" t="inlineStr">
        <is>
          <t>PS/DS/PPG/SC are NOMINAL categories (no established ordering), so every off-diagonal mismatch is weighted equally.</t>
        </is>
      </c>
    </row>
    <row r="23">
      <c r="B23" s="3" t="inlineStr">
        <is>
          <t>PRIMARY — standard (nominal, unweighted) Cohen’s kappa</t>
        </is>
      </c>
    </row>
    <row r="24">
      <c r="C24" t="n">
        <v>0</v>
      </c>
      <c r="D24" t="n">
        <v>1</v>
      </c>
      <c r="E24" t="n">
        <v>1</v>
      </c>
      <c r="F24" t="n">
        <v>1</v>
      </c>
    </row>
    <row r="25">
      <c r="C25" t="n">
        <v>1</v>
      </c>
      <c r="D25" t="n">
        <v>0</v>
      </c>
      <c r="E25" t="n">
        <v>1</v>
      </c>
      <c r="F25" t="n">
        <v>1</v>
      </c>
    </row>
    <row r="26">
      <c r="C26" t="n">
        <v>1</v>
      </c>
      <c r="D26" t="n">
        <v>1</v>
      </c>
      <c r="E26" t="n">
        <v>0</v>
      </c>
      <c r="F26" t="n">
        <v>1</v>
      </c>
    </row>
    <row r="27">
      <c r="C27" t="n">
        <v>1</v>
      </c>
      <c r="D27" t="n">
        <v>1</v>
      </c>
      <c r="E27" t="n">
        <v>1</v>
      </c>
      <c r="F27" t="n">
        <v>0</v>
      </c>
    </row>
    <row r="29">
      <c r="B29" s="3" t="inlineStr">
        <is>
          <t>Kappa</t>
        </is>
      </c>
      <c r="G29" s="8">
        <f>1-SUMPRODUCT(C24:F27,C9:F12)/SUMPRODUCT(C24:F27,C16:F19)</f>
        <v/>
      </c>
    </row>
    <row r="32">
      <c r="B32" s="3" t="inlineStr">
        <is>
          <t>RETIRED — quadratic ordinal weights (i−j)² — assumed PS&lt;DS&lt;PPG&lt;SC, no theoretical basis; kept only for comparison to the earlier version of this analysis</t>
        </is>
      </c>
    </row>
    <row r="33">
      <c r="C33" t="n">
        <v>0</v>
      </c>
      <c r="D33" t="n">
        <v>1</v>
      </c>
      <c r="E33" t="n">
        <v>4</v>
      </c>
      <c r="F33" t="n">
        <v>9</v>
      </c>
    </row>
    <row r="34">
      <c r="C34" t="n">
        <v>1</v>
      </c>
      <c r="D34" t="n">
        <v>0</v>
      </c>
      <c r="E34" t="n">
        <v>1</v>
      </c>
      <c r="F34" t="n">
        <v>4</v>
      </c>
    </row>
    <row r="35">
      <c r="C35" t="n">
        <v>4</v>
      </c>
      <c r="D35" t="n">
        <v>1</v>
      </c>
      <c r="E35" t="n">
        <v>0</v>
      </c>
      <c r="F35" t="n">
        <v>1</v>
      </c>
    </row>
    <row r="36">
      <c r="C36" t="n">
        <v>9</v>
      </c>
      <c r="D36" t="n">
        <v>4</v>
      </c>
      <c r="E36" t="n">
        <v>1</v>
      </c>
      <c r="F36" t="n">
        <v>0</v>
      </c>
    </row>
    <row r="38">
      <c r="B38" s="3" t="inlineStr">
        <is>
          <t>Kappa</t>
        </is>
      </c>
      <c r="G38" s="4">
        <f>1-SUMPRODUCT(C33:F36,C9:F12)/SUMPRODUCT(C33:F36,C16:F19)</f>
        <v/>
      </c>
    </row>
    <row r="41">
      <c r="B41" s="3" t="inlineStr">
        <is>
          <t>RETIRED — linear ordinal weights |i−j| — same caveat as above</t>
        </is>
      </c>
    </row>
    <row r="42">
      <c r="C42" t="n">
        <v>0</v>
      </c>
      <c r="D42" t="n">
        <v>1</v>
      </c>
      <c r="E42" t="n">
        <v>2</v>
      </c>
      <c r="F42" t="n">
        <v>3</v>
      </c>
    </row>
    <row r="43">
      <c r="C43" t="n">
        <v>1</v>
      </c>
      <c r="D43" t="n">
        <v>0</v>
      </c>
      <c r="E43" t="n">
        <v>1</v>
      </c>
      <c r="F43" t="n">
        <v>2</v>
      </c>
    </row>
    <row r="44">
      <c r="C44" t="n">
        <v>2</v>
      </c>
      <c r="D44" t="n">
        <v>1</v>
      </c>
      <c r="E44" t="n">
        <v>0</v>
      </c>
      <c r="F44" t="n">
        <v>1</v>
      </c>
    </row>
    <row r="45">
      <c r="C45" t="n">
        <v>3</v>
      </c>
      <c r="D45" t="n">
        <v>2</v>
      </c>
      <c r="E45" t="n">
        <v>1</v>
      </c>
      <c r="F45" t="n">
        <v>0</v>
      </c>
    </row>
    <row r="47">
      <c r="B47" s="3" t="inlineStr">
        <is>
          <t>Kappa</t>
        </is>
      </c>
      <c r="G47" s="4">
        <f>1-SUMPRODUCT(C42:F45,C9:F12)/SUMPRODUCT(C42:F45,C16:F19)</f>
        <v/>
      </c>
    </row>
    <row r="50">
      <c r="B50" s="3" t="inlineStr">
        <is>
          <t>B. Sensitivity — ties excluded</t>
        </is>
      </c>
    </row>
    <row r="51">
      <c r="C51" s="6" t="inlineStr">
        <is>
          <t>AI: PS</t>
        </is>
      </c>
      <c r="D51" s="6" t="inlineStr">
        <is>
          <t>AI: DS</t>
        </is>
      </c>
      <c r="E51" s="6" t="inlineStr">
        <is>
          <t>AI: PPG</t>
        </is>
      </c>
      <c r="F51" s="6" t="inlineStr">
        <is>
          <t>AI: SC</t>
        </is>
      </c>
      <c r="G51" s="6" t="inlineStr">
        <is>
          <t>Row total</t>
        </is>
      </c>
    </row>
    <row r="52">
      <c r="B52" s="4" t="inlineStr">
        <is>
          <t>Human: PS</t>
        </is>
      </c>
      <c r="C52">
        <f>COUNTIFS('R1 Chunk Dominant'!$B$2:$B$162,"PS",'R1 Chunk Dominant'!$D$2:$D$162,"PS",'R1 Chunk Dominant'!$C$2:$C$162,FALSE,'R1 Chunk Dominant'!$E$2:$E$162,FALSE)</f>
        <v/>
      </c>
      <c r="D52">
        <f>COUNTIFS('R1 Chunk Dominant'!$B$2:$B$162,"PS",'R1 Chunk Dominant'!$D$2:$D$162,"DS",'R1 Chunk Dominant'!$C$2:$C$162,FALSE,'R1 Chunk Dominant'!$E$2:$E$162,FALSE)</f>
        <v/>
      </c>
      <c r="E52">
        <f>COUNTIFS('R1 Chunk Dominant'!$B$2:$B$162,"PS",'R1 Chunk Dominant'!$D$2:$D$162,"PPG",'R1 Chunk Dominant'!$C$2:$C$162,FALSE,'R1 Chunk Dominant'!$E$2:$E$162,FALSE)</f>
        <v/>
      </c>
      <c r="F52">
        <f>COUNTIFS('R1 Chunk Dominant'!$B$2:$B$162,"PS",'R1 Chunk Dominant'!$D$2:$D$162,"SC",'R1 Chunk Dominant'!$C$2:$C$162,FALSE,'R1 Chunk Dominant'!$E$2:$E$162,FALSE)</f>
        <v/>
      </c>
      <c r="G52">
        <f>SUM(C52:F52)</f>
        <v/>
      </c>
    </row>
    <row r="53">
      <c r="B53" s="4" t="inlineStr">
        <is>
          <t>Human: DS</t>
        </is>
      </c>
      <c r="C53">
        <f>COUNTIFS('R1 Chunk Dominant'!$B$2:$B$162,"DS",'R1 Chunk Dominant'!$D$2:$D$162,"PS",'R1 Chunk Dominant'!$C$2:$C$162,FALSE,'R1 Chunk Dominant'!$E$2:$E$162,FALSE)</f>
        <v/>
      </c>
      <c r="D53">
        <f>COUNTIFS('R1 Chunk Dominant'!$B$2:$B$162,"DS",'R1 Chunk Dominant'!$D$2:$D$162,"DS",'R1 Chunk Dominant'!$C$2:$C$162,FALSE,'R1 Chunk Dominant'!$E$2:$E$162,FALSE)</f>
        <v/>
      </c>
      <c r="E53">
        <f>COUNTIFS('R1 Chunk Dominant'!$B$2:$B$162,"DS",'R1 Chunk Dominant'!$D$2:$D$162,"PPG",'R1 Chunk Dominant'!$C$2:$C$162,FALSE,'R1 Chunk Dominant'!$E$2:$E$162,FALSE)</f>
        <v/>
      </c>
      <c r="F53">
        <f>COUNTIFS('R1 Chunk Dominant'!$B$2:$B$162,"DS",'R1 Chunk Dominant'!$D$2:$D$162,"SC",'R1 Chunk Dominant'!$C$2:$C$162,FALSE,'R1 Chunk Dominant'!$E$2:$E$162,FALSE)</f>
        <v/>
      </c>
      <c r="G53">
        <f>SUM(C53:F53)</f>
        <v/>
      </c>
    </row>
    <row r="54">
      <c r="B54" s="4" t="inlineStr">
        <is>
          <t>Human: PPG</t>
        </is>
      </c>
      <c r="C54">
        <f>COUNTIFS('R1 Chunk Dominant'!$B$2:$B$162,"PPG",'R1 Chunk Dominant'!$D$2:$D$162,"PS",'R1 Chunk Dominant'!$C$2:$C$162,FALSE,'R1 Chunk Dominant'!$E$2:$E$162,FALSE)</f>
        <v/>
      </c>
      <c r="D54">
        <f>COUNTIFS('R1 Chunk Dominant'!$B$2:$B$162,"PPG",'R1 Chunk Dominant'!$D$2:$D$162,"DS",'R1 Chunk Dominant'!$C$2:$C$162,FALSE,'R1 Chunk Dominant'!$E$2:$E$162,FALSE)</f>
        <v/>
      </c>
      <c r="E54">
        <f>COUNTIFS('R1 Chunk Dominant'!$B$2:$B$162,"PPG",'R1 Chunk Dominant'!$D$2:$D$162,"PPG",'R1 Chunk Dominant'!$C$2:$C$162,FALSE,'R1 Chunk Dominant'!$E$2:$E$162,FALSE)</f>
        <v/>
      </c>
      <c r="F54">
        <f>COUNTIFS('R1 Chunk Dominant'!$B$2:$B$162,"PPG",'R1 Chunk Dominant'!$D$2:$D$162,"SC",'R1 Chunk Dominant'!$C$2:$C$162,FALSE,'R1 Chunk Dominant'!$E$2:$E$162,FALSE)</f>
        <v/>
      </c>
      <c r="G54">
        <f>SUM(C54:F54)</f>
        <v/>
      </c>
    </row>
    <row r="55">
      <c r="B55" s="4" t="inlineStr">
        <is>
          <t>Human: SC</t>
        </is>
      </c>
      <c r="C55">
        <f>COUNTIFS('R1 Chunk Dominant'!$B$2:$B$162,"SC",'R1 Chunk Dominant'!$D$2:$D$162,"PS",'R1 Chunk Dominant'!$C$2:$C$162,FALSE,'R1 Chunk Dominant'!$E$2:$E$162,FALSE)</f>
        <v/>
      </c>
      <c r="D55">
        <f>COUNTIFS('R1 Chunk Dominant'!$B$2:$B$162,"SC",'R1 Chunk Dominant'!$D$2:$D$162,"DS",'R1 Chunk Dominant'!$C$2:$C$162,FALSE,'R1 Chunk Dominant'!$E$2:$E$162,FALSE)</f>
        <v/>
      </c>
      <c r="E55">
        <f>COUNTIFS('R1 Chunk Dominant'!$B$2:$B$162,"SC",'R1 Chunk Dominant'!$D$2:$D$162,"PPG",'R1 Chunk Dominant'!$C$2:$C$162,FALSE,'R1 Chunk Dominant'!$E$2:$E$162,FALSE)</f>
        <v/>
      </c>
      <c r="F55">
        <f>COUNTIFS('R1 Chunk Dominant'!$B$2:$B$162,"SC",'R1 Chunk Dominant'!$D$2:$D$162,"SC",'R1 Chunk Dominant'!$C$2:$C$162,FALSE,'R1 Chunk Dominant'!$E$2:$E$162,FALSE)</f>
        <v/>
      </c>
      <c r="G55">
        <f>SUM(C55:F55)</f>
        <v/>
      </c>
    </row>
    <row r="56">
      <c r="B56" s="3" t="inlineStr">
        <is>
          <t>Col total</t>
        </is>
      </c>
      <c r="C56">
        <f>SUM(C52:C55)</f>
        <v/>
      </c>
      <c r="D56">
        <f>SUM(D52:D55)</f>
        <v/>
      </c>
      <c r="E56">
        <f>SUM(E52:E55)</f>
        <v/>
      </c>
      <c r="F56">
        <f>SUM(F52:F55)</f>
        <v/>
      </c>
      <c r="G56">
        <f>SUM(G52:G55)</f>
        <v/>
      </c>
    </row>
    <row r="58">
      <c r="B58" s="4" t="inlineStr">
        <is>
          <t>Expected under independence</t>
        </is>
      </c>
    </row>
    <row r="59">
      <c r="C59">
        <f>$G52*C$56/$G$56</f>
        <v/>
      </c>
      <c r="D59">
        <f>$G52*D$56/$G$56</f>
        <v/>
      </c>
      <c r="E59">
        <f>$G52*E$56/$G$56</f>
        <v/>
      </c>
      <c r="F59">
        <f>$G52*F$56/$G$56</f>
        <v/>
      </c>
    </row>
    <row r="60">
      <c r="C60">
        <f>$G53*C$56/$G$56</f>
        <v/>
      </c>
      <c r="D60">
        <f>$G53*D$56/$G$56</f>
        <v/>
      </c>
      <c r="E60">
        <f>$G53*E$56/$G$56</f>
        <v/>
      </c>
      <c r="F60">
        <f>$G53*F$56/$G$56</f>
        <v/>
      </c>
    </row>
    <row r="61">
      <c r="C61">
        <f>$G54*C$56/$G$56</f>
        <v/>
      </c>
      <c r="D61">
        <f>$G54*D$56/$G$56</f>
        <v/>
      </c>
      <c r="E61">
        <f>$G54*E$56/$G$56</f>
        <v/>
      </c>
      <c r="F61">
        <f>$G54*F$56/$G$56</f>
        <v/>
      </c>
    </row>
    <row r="62">
      <c r="C62">
        <f>$G55*C$56/$G$56</f>
        <v/>
      </c>
      <c r="D62">
        <f>$G55*D$56/$G$56</f>
        <v/>
      </c>
      <c r="E62">
        <f>$G55*E$56/$G$56</f>
        <v/>
      </c>
      <c r="F62">
        <f>$G55*F$56/$G$56</f>
        <v/>
      </c>
    </row>
    <row r="64">
      <c r="B64" s="4" t="inlineStr">
        <is>
          <t>Raw agreement (% chunks, matching dominant logic)</t>
        </is>
      </c>
      <c r="G64" s="7">
        <f>(C52+D53+E54+F55)/G56</f>
        <v/>
      </c>
    </row>
    <row r="65">
      <c r="B65" s="9" t="inlineStr">
        <is>
          <t>PS/DS/PPG/SC are NOMINAL categories (no established ordering), so every off-diagonal mismatch is weighted equally.</t>
        </is>
      </c>
    </row>
    <row r="66">
      <c r="B66" s="3" t="inlineStr">
        <is>
          <t>PRIMARY — standard (nominal, unweighted) Cohen’s kappa</t>
        </is>
      </c>
    </row>
    <row r="67">
      <c r="C67" t="n">
        <v>0</v>
      </c>
      <c r="D67" t="n">
        <v>1</v>
      </c>
      <c r="E67" t="n">
        <v>1</v>
      </c>
      <c r="F67" t="n">
        <v>1</v>
      </c>
    </row>
    <row r="68">
      <c r="C68" t="n">
        <v>1</v>
      </c>
      <c r="D68" t="n">
        <v>0</v>
      </c>
      <c r="E68" t="n">
        <v>1</v>
      </c>
      <c r="F68" t="n">
        <v>1</v>
      </c>
    </row>
    <row r="69">
      <c r="C69" t="n">
        <v>1</v>
      </c>
      <c r="D69" t="n">
        <v>1</v>
      </c>
      <c r="E69" t="n">
        <v>0</v>
      </c>
      <c r="F69" t="n">
        <v>1</v>
      </c>
    </row>
    <row r="70">
      <c r="C70" t="n">
        <v>1</v>
      </c>
      <c r="D70" t="n">
        <v>1</v>
      </c>
      <c r="E70" t="n">
        <v>1</v>
      </c>
      <c r="F70" t="n">
        <v>0</v>
      </c>
    </row>
    <row r="72">
      <c r="B72" s="3" t="inlineStr">
        <is>
          <t>Kappa</t>
        </is>
      </c>
      <c r="G72" s="8">
        <f>1-SUMPRODUCT(C67:F70,C52:F55)/SUMPRODUCT(C67:F70,C59:F62)</f>
        <v/>
      </c>
    </row>
    <row r="75">
      <c r="B75" s="3" t="inlineStr">
        <is>
          <t>RETIRED — quadratic ordinal weights (i−j)² — assumed PS&lt;DS&lt;PPG&lt;SC, no theoretical basis; kept only for comparison to the earlier version of this analysis</t>
        </is>
      </c>
    </row>
    <row r="76">
      <c r="C76" t="n">
        <v>0</v>
      </c>
      <c r="D76" t="n">
        <v>1</v>
      </c>
      <c r="E76" t="n">
        <v>4</v>
      </c>
      <c r="F76" t="n">
        <v>9</v>
      </c>
    </row>
    <row r="77">
      <c r="C77" t="n">
        <v>1</v>
      </c>
      <c r="D77" t="n">
        <v>0</v>
      </c>
      <c r="E77" t="n">
        <v>1</v>
      </c>
      <c r="F77" t="n">
        <v>4</v>
      </c>
    </row>
    <row r="78">
      <c r="C78" t="n">
        <v>4</v>
      </c>
      <c r="D78" t="n">
        <v>1</v>
      </c>
      <c r="E78" t="n">
        <v>0</v>
      </c>
      <c r="F78" t="n">
        <v>1</v>
      </c>
    </row>
    <row r="79">
      <c r="C79" t="n">
        <v>9</v>
      </c>
      <c r="D79" t="n">
        <v>4</v>
      </c>
      <c r="E79" t="n">
        <v>1</v>
      </c>
      <c r="F79" t="n">
        <v>0</v>
      </c>
    </row>
    <row r="81">
      <c r="B81" s="3" t="inlineStr">
        <is>
          <t>Kappa</t>
        </is>
      </c>
      <c r="G81" s="4">
        <f>1-SUMPRODUCT(C76:F79,C52:F55)/SUMPRODUCT(C76:F79,C59:F62)</f>
        <v/>
      </c>
    </row>
    <row r="84">
      <c r="B84" s="3" t="inlineStr">
        <is>
          <t>RETIRED — linear ordinal weights |i−j| — same caveat as above</t>
        </is>
      </c>
    </row>
    <row r="85">
      <c r="C85" t="n">
        <v>0</v>
      </c>
      <c r="D85" t="n">
        <v>1</v>
      </c>
      <c r="E85" t="n">
        <v>2</v>
      </c>
      <c r="F85" t="n">
        <v>3</v>
      </c>
    </row>
    <row r="86">
      <c r="C86" t="n">
        <v>1</v>
      </c>
      <c r="D86" t="n">
        <v>0</v>
      </c>
      <c r="E86" t="n">
        <v>1</v>
      </c>
      <c r="F86" t="n">
        <v>2</v>
      </c>
    </row>
    <row r="87">
      <c r="C87" t="n">
        <v>2</v>
      </c>
      <c r="D87" t="n">
        <v>1</v>
      </c>
      <c r="E87" t="n">
        <v>0</v>
      </c>
      <c r="F87" t="n">
        <v>1</v>
      </c>
    </row>
    <row r="88">
      <c r="C88" t="n">
        <v>3</v>
      </c>
      <c r="D88" t="n">
        <v>2</v>
      </c>
      <c r="E88" t="n">
        <v>1</v>
      </c>
      <c r="F88" t="n">
        <v>0</v>
      </c>
    </row>
    <row r="90">
      <c r="B90" s="3" t="inlineStr">
        <is>
          <t>Kappa</t>
        </is>
      </c>
      <c r="G90" s="4">
        <f>1-SUMPRODUCT(C85:F88,C52:F55)/SUMPRODUCT(C85:F88,C59:F62)</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W33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60" customWidth="1" min="2" max="2"/>
    <col width="9" customWidth="1" min="3" max="3"/>
    <col width="9" customWidth="1" min="4" max="4"/>
    <col width="9" customWidth="1" min="5" max="5"/>
    <col width="9" customWidth="1" min="6" max="6"/>
    <col width="10"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 width="8" customWidth="1" min="21" max="21"/>
    <col width="8" customWidth="1" min="22" max="22"/>
    <col width="8" customWidth="1" min="23" max="23"/>
  </cols>
  <sheetData>
    <row r="1">
      <c r="A1" s="6" t="inlineStr">
        <is>
          <t>Chunk ID</t>
        </is>
      </c>
      <c r="B1" s="6" t="inlineStr">
        <is>
          <t>Text</t>
        </is>
      </c>
      <c r="C1" s="6" t="inlineStr">
        <is>
          <t>Human # applic.</t>
        </is>
      </c>
      <c r="D1" s="6" t="inlineStr">
        <is>
          <t>AI # applic.</t>
        </is>
      </c>
      <c r="E1" s="6" t="inlineStr">
        <is>
          <t>Human # incompl.</t>
        </is>
      </c>
      <c r="F1" s="6" t="inlineStr">
        <is>
          <t>AI # incompl.</t>
        </is>
      </c>
      <c r="G1" s="6" t="inlineStr">
        <is>
          <t>Coded by both?</t>
        </is>
      </c>
      <c r="H1" s="6" t="inlineStr">
        <is>
          <t>Human pts PS</t>
        </is>
      </c>
      <c r="I1" s="6" t="inlineStr">
        <is>
          <t>Human pts DS</t>
        </is>
      </c>
      <c r="J1" s="6" t="inlineStr">
        <is>
          <t>Human pts PPG</t>
        </is>
      </c>
      <c r="K1" s="6" t="inlineStr">
        <is>
          <t>Human pts SC</t>
        </is>
      </c>
      <c r="L1" s="6" t="inlineStr">
        <is>
          <t>AI pts PS</t>
        </is>
      </c>
      <c r="M1" s="6" t="inlineStr">
        <is>
          <t>AI pts DS</t>
        </is>
      </c>
      <c r="N1" s="6" t="inlineStr">
        <is>
          <t>AI pts PPG</t>
        </is>
      </c>
      <c r="O1" s="6" t="inlineStr">
        <is>
          <t>AI pts SC</t>
        </is>
      </c>
      <c r="P1" s="6" t="inlineStr">
        <is>
          <t>Human % PS</t>
        </is>
      </c>
      <c r="Q1" s="6" t="inlineStr">
        <is>
          <t>Human % DS</t>
        </is>
      </c>
      <c r="R1" s="6" t="inlineStr">
        <is>
          <t>Human % PPG</t>
        </is>
      </c>
      <c r="S1" s="6" t="inlineStr">
        <is>
          <t>Human % SC</t>
        </is>
      </c>
      <c r="T1" s="6" t="inlineStr">
        <is>
          <t>AI % PS</t>
        </is>
      </c>
      <c r="U1" s="6" t="inlineStr">
        <is>
          <t>AI % DS</t>
        </is>
      </c>
      <c r="V1" s="6" t="inlineStr">
        <is>
          <t>AI % PPG</t>
        </is>
      </c>
      <c r="W1" s="6" t="inlineStr">
        <is>
          <t>AI % SC</t>
        </is>
      </c>
    </row>
    <row r="2">
      <c r="A2" t="n">
        <v>2</v>
      </c>
      <c r="B2" t="inlineStr">
        <is>
          <t>2022 Annual Report</t>
        </is>
      </c>
      <c r="C2" t="n">
        <v>0</v>
      </c>
      <c r="D2" t="n">
        <v>0</v>
      </c>
      <c r="E2" t="n">
        <v>0</v>
      </c>
      <c r="F2" t="n">
        <v>0</v>
      </c>
      <c r="G2" t="b">
        <v>0</v>
      </c>
      <c r="H2" t="n">
        <v>0</v>
      </c>
      <c r="I2" t="n">
        <v>0</v>
      </c>
      <c r="J2" t="n">
        <v>0</v>
      </c>
      <c r="K2" t="n">
        <v>0</v>
      </c>
      <c r="L2" t="n">
        <v>0</v>
      </c>
      <c r="M2" t="n">
        <v>0</v>
      </c>
      <c r="N2" t="n">
        <v>0</v>
      </c>
      <c r="O2" t="n">
        <v>0</v>
      </c>
      <c r="P2" s="7">
        <f>IF(SUM(H2:K2)=0,"",H2/SUM(H2:K2))</f>
        <v/>
      </c>
      <c r="Q2" s="7">
        <f>IF(SUM(H2:K2)=0,"",I2/SUM(H2:K2))</f>
        <v/>
      </c>
      <c r="R2" s="7">
        <f>IF(SUM(H2:K2)=0,"",J2/SUM(H2:K2))</f>
        <v/>
      </c>
      <c r="S2" s="7">
        <f>IF(SUM(H2:K2)=0,"",K2/SUM(H2:K2))</f>
        <v/>
      </c>
      <c r="T2" s="7">
        <f>IF(SUM(L2:O2)=0,"",L2/SUM(L2:O2))</f>
        <v/>
      </c>
      <c r="U2" s="7">
        <f>IF(SUM(L2:O2)=0,"",M2/SUM(L2:O2))</f>
        <v/>
      </c>
      <c r="V2" s="7">
        <f>IF(SUM(L2:O2)=0,"",N2/SUM(L2:O2))</f>
        <v/>
      </c>
      <c r="W2" s="7">
        <f>IF(SUM(L2:O2)=0,"",O2/SUM(L2:O2))</f>
        <v/>
      </c>
    </row>
    <row r="3">
      <c r="A3" t="n">
        <v>3</v>
      </c>
      <c r="B3" t="inlineStr">
        <is>
          <t>[community_foundation_tag] Purpose Statement [community_foundation_tag] exist to cultivate the power of giving within [community_foundation_tag] community, support long-term transformation, and help ensure all residents thrive.</t>
        </is>
      </c>
      <c r="C3" t="n">
        <v>1</v>
      </c>
      <c r="D3" t="n">
        <v>3</v>
      </c>
      <c r="E3" t="n">
        <v>0</v>
      </c>
      <c r="F3" t="n">
        <v>0</v>
      </c>
      <c r="G3" t="b">
        <v>1</v>
      </c>
      <c r="H3" t="n">
        <v>2</v>
      </c>
      <c r="I3" t="n">
        <v>0</v>
      </c>
      <c r="J3" t="n">
        <v>1</v>
      </c>
      <c r="K3" t="n">
        <v>0</v>
      </c>
      <c r="L3" t="n">
        <v>2</v>
      </c>
      <c r="M3" t="n">
        <v>0</v>
      </c>
      <c r="N3" t="n">
        <v>4</v>
      </c>
      <c r="O3" t="n">
        <v>3</v>
      </c>
      <c r="P3" s="7">
        <f>IF(SUM(H3:K3)=0,"",H3/SUM(H3:K3))</f>
        <v/>
      </c>
      <c r="Q3" s="7">
        <f>IF(SUM(H3:K3)=0,"",I3/SUM(H3:K3))</f>
        <v/>
      </c>
      <c r="R3" s="7">
        <f>IF(SUM(H3:K3)=0,"",J3/SUM(H3:K3))</f>
        <v/>
      </c>
      <c r="S3" s="7">
        <f>IF(SUM(H3:K3)=0,"",K3/SUM(H3:K3))</f>
        <v/>
      </c>
      <c r="T3" s="7">
        <f>IF(SUM(L3:O3)=0,"",L3/SUM(L3:O3))</f>
        <v/>
      </c>
      <c r="U3" s="7">
        <f>IF(SUM(L3:O3)=0,"",M3/SUM(L3:O3))</f>
        <v/>
      </c>
      <c r="V3" s="7">
        <f>IF(SUM(L3:O3)=0,"",N3/SUM(L3:O3))</f>
        <v/>
      </c>
      <c r="W3" s="7">
        <f>IF(SUM(L3:O3)=0,"",O3/SUM(L3:O3))</f>
        <v/>
      </c>
    </row>
    <row r="4">
      <c r="A4" t="n">
        <v>7</v>
      </c>
      <c r="B4" t="inlineStr">
        <is>
          <t>Welcome to [community_foundation_tag], your local leader in community philanthropy since 1973.</t>
        </is>
      </c>
      <c r="C4" t="n">
        <v>1</v>
      </c>
      <c r="D4" t="n">
        <v>2</v>
      </c>
      <c r="E4" t="n">
        <v>0</v>
      </c>
      <c r="F4" t="n">
        <v>0</v>
      </c>
      <c r="G4" t="b">
        <v>1</v>
      </c>
      <c r="H4" t="n">
        <v>0</v>
      </c>
      <c r="I4" t="n">
        <v>0</v>
      </c>
      <c r="J4" t="n">
        <v>2</v>
      </c>
      <c r="K4" t="n">
        <v>0</v>
      </c>
      <c r="L4" t="n">
        <v>4</v>
      </c>
      <c r="M4" t="n">
        <v>0</v>
      </c>
      <c r="N4" t="n">
        <v>2</v>
      </c>
      <c r="O4" t="n">
        <v>0</v>
      </c>
      <c r="P4" s="7">
        <f>IF(SUM(H4:K4)=0,"",H4/SUM(H4:K4))</f>
        <v/>
      </c>
      <c r="Q4" s="7">
        <f>IF(SUM(H4:K4)=0,"",I4/SUM(H4:K4))</f>
        <v/>
      </c>
      <c r="R4" s="7">
        <f>IF(SUM(H4:K4)=0,"",J4/SUM(H4:K4))</f>
        <v/>
      </c>
      <c r="S4" s="7">
        <f>IF(SUM(H4:K4)=0,"",K4/SUM(H4:K4))</f>
        <v/>
      </c>
      <c r="T4" s="7">
        <f>IF(SUM(L4:O4)=0,"",L4/SUM(L4:O4))</f>
        <v/>
      </c>
      <c r="U4" s="7">
        <f>IF(SUM(L4:O4)=0,"",M4/SUM(L4:O4))</f>
        <v/>
      </c>
      <c r="V4" s="7">
        <f>IF(SUM(L4:O4)=0,"",N4/SUM(L4:O4))</f>
        <v/>
      </c>
      <c r="W4" s="7">
        <f>IF(SUM(L4:O4)=0,"",O4/SUM(L4:O4))</f>
        <v/>
      </c>
    </row>
    <row r="5">
      <c r="A5" t="n">
        <v>8</v>
      </c>
      <c r="B5" t="inlineStr">
        <is>
          <t>[community_foundation_tag] believe anyone can be a philanthropist, facilitating a broad scope of avenues for involvement and bringing to life the philanthropic goals of foundation members.</t>
        </is>
      </c>
      <c r="C5" t="n">
        <v>1</v>
      </c>
      <c r="D5" t="n">
        <v>2</v>
      </c>
      <c r="E5" t="n">
        <v>0</v>
      </c>
      <c r="F5" t="n">
        <v>0</v>
      </c>
      <c r="G5" t="b">
        <v>1</v>
      </c>
      <c r="H5" t="n">
        <v>0</v>
      </c>
      <c r="I5" t="n">
        <v>2</v>
      </c>
      <c r="J5" t="n">
        <v>0</v>
      </c>
      <c r="K5" t="n">
        <v>0</v>
      </c>
      <c r="L5" t="n">
        <v>2</v>
      </c>
      <c r="M5" t="n">
        <v>4</v>
      </c>
      <c r="N5" t="n">
        <v>0</v>
      </c>
      <c r="O5" t="n">
        <v>0</v>
      </c>
      <c r="P5" s="7">
        <f>IF(SUM(H5:K5)=0,"",H5/SUM(H5:K5))</f>
        <v/>
      </c>
      <c r="Q5" s="7">
        <f>IF(SUM(H5:K5)=0,"",I5/SUM(H5:K5))</f>
        <v/>
      </c>
      <c r="R5" s="7">
        <f>IF(SUM(H5:K5)=0,"",J5/SUM(H5:K5))</f>
        <v/>
      </c>
      <c r="S5" s="7">
        <f>IF(SUM(H5:K5)=0,"",K5/SUM(H5:K5))</f>
        <v/>
      </c>
      <c r="T5" s="7">
        <f>IF(SUM(L5:O5)=0,"",L5/SUM(L5:O5))</f>
        <v/>
      </c>
      <c r="U5" s="7">
        <f>IF(SUM(L5:O5)=0,"",M5/SUM(L5:O5))</f>
        <v/>
      </c>
      <c r="V5" s="7">
        <f>IF(SUM(L5:O5)=0,"",N5/SUM(L5:O5))</f>
        <v/>
      </c>
      <c r="W5" s="7">
        <f>IF(SUM(L5:O5)=0,"",O5/SUM(L5:O5))</f>
        <v/>
      </c>
    </row>
    <row r="6">
      <c r="A6" t="n">
        <v>9</v>
      </c>
      <c r="B6" t="inlineStr">
        <is>
          <t>[community_foundation_tag] reflect [community_foundation_tag] donors' and community partners' broad array of interests, including arts, culture, economic development, education, environment, health, human services, neighboring, and recreation. [community_foundation_tag] supports philanthropy in many ways.</t>
        </is>
      </c>
      <c r="C6" t="n">
        <v>1</v>
      </c>
      <c r="D6" t="n">
        <v>2</v>
      </c>
      <c r="E6" t="n">
        <v>0</v>
      </c>
      <c r="F6" t="n">
        <v>0</v>
      </c>
      <c r="G6" t="b">
        <v>1</v>
      </c>
      <c r="H6" t="n">
        <v>0</v>
      </c>
      <c r="I6" t="n">
        <v>2</v>
      </c>
      <c r="J6" t="n">
        <v>1</v>
      </c>
      <c r="K6" t="n">
        <v>0</v>
      </c>
      <c r="L6" t="n">
        <v>0</v>
      </c>
      <c r="M6" t="n">
        <v>4</v>
      </c>
      <c r="N6" t="n">
        <v>2</v>
      </c>
      <c r="O6" t="n">
        <v>0</v>
      </c>
      <c r="P6" s="7">
        <f>IF(SUM(H6:K6)=0,"",H6/SUM(H6:K6))</f>
        <v/>
      </c>
      <c r="Q6" s="7">
        <f>IF(SUM(H6:K6)=0,"",I6/SUM(H6:K6))</f>
        <v/>
      </c>
      <c r="R6" s="7">
        <f>IF(SUM(H6:K6)=0,"",J6/SUM(H6:K6))</f>
        <v/>
      </c>
      <c r="S6" s="7">
        <f>IF(SUM(H6:K6)=0,"",K6/SUM(H6:K6))</f>
        <v/>
      </c>
      <c r="T6" s="7">
        <f>IF(SUM(L6:O6)=0,"",L6/SUM(L6:O6))</f>
        <v/>
      </c>
      <c r="U6" s="7">
        <f>IF(SUM(L6:O6)=0,"",M6/SUM(L6:O6))</f>
        <v/>
      </c>
      <c r="V6" s="7">
        <f>IF(SUM(L6:O6)=0,"",N6/SUM(L6:O6))</f>
        <v/>
      </c>
      <c r="W6" s="7">
        <f>IF(SUM(L6:O6)=0,"",O6/SUM(L6:O6))</f>
        <v/>
      </c>
    </row>
    <row r="7">
      <c r="A7" t="n">
        <v>10</v>
      </c>
      <c r="B7" t="inlineStr">
        <is>
          <t>A few examples are:</t>
        </is>
      </c>
      <c r="C7" t="n">
        <v>0</v>
      </c>
      <c r="D7" t="n">
        <v>0</v>
      </c>
      <c r="E7" t="n">
        <v>0</v>
      </c>
      <c r="F7" t="n">
        <v>0</v>
      </c>
      <c r="G7" t="b">
        <v>0</v>
      </c>
      <c r="H7" t="n">
        <v>0</v>
      </c>
      <c r="I7" t="n">
        <v>0</v>
      </c>
      <c r="J7" t="n">
        <v>0</v>
      </c>
      <c r="K7" t="n">
        <v>0</v>
      </c>
      <c r="L7" t="n">
        <v>0</v>
      </c>
      <c r="M7" t="n">
        <v>0</v>
      </c>
      <c r="N7" t="n">
        <v>0</v>
      </c>
      <c r="O7" t="n">
        <v>0</v>
      </c>
      <c r="P7" s="7">
        <f>IF(SUM(H7:K7)=0,"",H7/SUM(H7:K7))</f>
        <v/>
      </c>
      <c r="Q7" s="7">
        <f>IF(SUM(H7:K7)=0,"",I7/SUM(H7:K7))</f>
        <v/>
      </c>
      <c r="R7" s="7">
        <f>IF(SUM(H7:K7)=0,"",J7/SUM(H7:K7))</f>
        <v/>
      </c>
      <c r="S7" s="7">
        <f>IF(SUM(H7:K7)=0,"",K7/SUM(H7:K7))</f>
        <v/>
      </c>
      <c r="T7" s="7">
        <f>IF(SUM(L7:O7)=0,"",L7/SUM(L7:O7))</f>
        <v/>
      </c>
      <c r="U7" s="7">
        <f>IF(SUM(L7:O7)=0,"",M7/SUM(L7:O7))</f>
        <v/>
      </c>
      <c r="V7" s="7">
        <f>IF(SUM(L7:O7)=0,"",N7/SUM(L7:O7))</f>
        <v/>
      </c>
      <c r="W7" s="7">
        <f>IF(SUM(L7:O7)=0,"",O7/SUM(L7:O7))</f>
        <v/>
      </c>
    </row>
    <row r="8">
      <c r="A8" t="n">
        <v>11</v>
      </c>
      <c r="B8" t="inlineStr">
        <is>
          <t>Grants - [community_foundation_tag] goes beyond making grants that advance charitable activities. [community_foundation_tag] identifies current and emerging community gaps, helps the community prepare for the future, and provides donors the opportunity to leave lasting legacies.</t>
        </is>
      </c>
      <c r="C8" t="n">
        <v>1</v>
      </c>
      <c r="D8" t="n">
        <v>2</v>
      </c>
      <c r="E8" t="n">
        <v>0</v>
      </c>
      <c r="F8" t="n">
        <v>0</v>
      </c>
      <c r="G8" t="b">
        <v>1</v>
      </c>
      <c r="H8" t="n">
        <v>2</v>
      </c>
      <c r="I8" t="n">
        <v>1</v>
      </c>
      <c r="J8" t="n">
        <v>0</v>
      </c>
      <c r="K8" t="n">
        <v>0</v>
      </c>
      <c r="L8" t="n">
        <v>2</v>
      </c>
      <c r="M8" t="n">
        <v>0</v>
      </c>
      <c r="N8" t="n">
        <v>4</v>
      </c>
      <c r="O8" t="n">
        <v>0</v>
      </c>
      <c r="P8" s="7">
        <f>IF(SUM(H8:K8)=0,"",H8/SUM(H8:K8))</f>
        <v/>
      </c>
      <c r="Q8" s="7">
        <f>IF(SUM(H8:K8)=0,"",I8/SUM(H8:K8))</f>
        <v/>
      </c>
      <c r="R8" s="7">
        <f>IF(SUM(H8:K8)=0,"",J8/SUM(H8:K8))</f>
        <v/>
      </c>
      <c r="S8" s="7">
        <f>IF(SUM(H8:K8)=0,"",K8/SUM(H8:K8))</f>
        <v/>
      </c>
      <c r="T8" s="7">
        <f>IF(SUM(L8:O8)=0,"",L8/SUM(L8:O8))</f>
        <v/>
      </c>
      <c r="U8" s="7">
        <f>IF(SUM(L8:O8)=0,"",M8/SUM(L8:O8))</f>
        <v/>
      </c>
      <c r="V8" s="7">
        <f>IF(SUM(L8:O8)=0,"",N8/SUM(L8:O8))</f>
        <v/>
      </c>
      <c r="W8" s="7">
        <f>IF(SUM(L8:O8)=0,"",O8/SUM(L8:O8))</f>
        <v/>
      </c>
    </row>
    <row r="9">
      <c r="A9" t="n">
        <v>12</v>
      </c>
      <c r="B9" t="inlineStr">
        <is>
          <t>[community_foundation_tag] granted over $12 million in 2022 to support a wide array of community programming and nonprofits.</t>
        </is>
      </c>
      <c r="C9" t="n">
        <v>0</v>
      </c>
      <c r="D9" t="n">
        <v>2</v>
      </c>
      <c r="E9" t="n">
        <v>0</v>
      </c>
      <c r="F9" t="n">
        <v>0</v>
      </c>
      <c r="G9" t="b">
        <v>0</v>
      </c>
      <c r="H9" t="n">
        <v>0</v>
      </c>
      <c r="I9" t="n">
        <v>0</v>
      </c>
      <c r="J9" t="n">
        <v>0</v>
      </c>
      <c r="K9" t="n">
        <v>0</v>
      </c>
      <c r="L9" t="n">
        <v>4</v>
      </c>
      <c r="M9" t="n">
        <v>0</v>
      </c>
      <c r="N9" t="n">
        <v>2</v>
      </c>
      <c r="O9" t="n">
        <v>0</v>
      </c>
      <c r="P9" s="7">
        <f>IF(SUM(H9:K9)=0,"",H9/SUM(H9:K9))</f>
        <v/>
      </c>
      <c r="Q9" s="7">
        <f>IF(SUM(H9:K9)=0,"",I9/SUM(H9:K9))</f>
        <v/>
      </c>
      <c r="R9" s="7">
        <f>IF(SUM(H9:K9)=0,"",J9/SUM(H9:K9))</f>
        <v/>
      </c>
      <c r="S9" s="7">
        <f>IF(SUM(H9:K9)=0,"",K9/SUM(H9:K9))</f>
        <v/>
      </c>
      <c r="T9" s="7">
        <f>IF(SUM(L9:O9)=0,"",L9/SUM(L9:O9))</f>
        <v/>
      </c>
      <c r="U9" s="7">
        <f>IF(SUM(L9:O9)=0,"",M9/SUM(L9:O9))</f>
        <v/>
      </c>
      <c r="V9" s="7">
        <f>IF(SUM(L9:O9)=0,"",N9/SUM(L9:O9))</f>
        <v/>
      </c>
      <c r="W9" s="7">
        <f>IF(SUM(L9:O9)=0,"",O9/SUM(L9:O9))</f>
        <v/>
      </c>
    </row>
    <row r="10">
      <c r="A10" t="n">
        <v>13</v>
      </c>
      <c r="B10" t="inlineStr">
        <is>
          <t>Scholarships - [community_foundation_tag] commits to providing students the opportunity to continue their education beyond high school. Scholarships provide an investment in the community's future, developing talent by helping students achieve their dreams.</t>
        </is>
      </c>
      <c r="C10" t="n">
        <v>1</v>
      </c>
      <c r="D10" t="n">
        <v>2</v>
      </c>
      <c r="E10" t="n">
        <v>0</v>
      </c>
      <c r="F10" t="n">
        <v>0</v>
      </c>
      <c r="G10" t="b">
        <v>1</v>
      </c>
      <c r="H10" t="n">
        <v>0</v>
      </c>
      <c r="I10" t="n">
        <v>0</v>
      </c>
      <c r="J10" t="n">
        <v>2</v>
      </c>
      <c r="K10" t="n">
        <v>0</v>
      </c>
      <c r="L10" t="n">
        <v>1</v>
      </c>
      <c r="M10" t="n">
        <v>2</v>
      </c>
      <c r="N10" t="n">
        <v>3</v>
      </c>
      <c r="O10" t="n">
        <v>0</v>
      </c>
      <c r="P10" s="7">
        <f>IF(SUM(H10:K10)=0,"",H10/SUM(H10:K10))</f>
        <v/>
      </c>
      <c r="Q10" s="7">
        <f>IF(SUM(H10:K10)=0,"",I10/SUM(H10:K10))</f>
        <v/>
      </c>
      <c r="R10" s="7">
        <f>IF(SUM(H10:K10)=0,"",J10/SUM(H10:K10))</f>
        <v/>
      </c>
      <c r="S10" s="7">
        <f>IF(SUM(H10:K10)=0,"",K10/SUM(H10:K10))</f>
        <v/>
      </c>
      <c r="T10" s="7">
        <f>IF(SUM(L10:O10)=0,"",L10/SUM(L10:O10))</f>
        <v/>
      </c>
      <c r="U10" s="7">
        <f>IF(SUM(L10:O10)=0,"",M10/SUM(L10:O10))</f>
        <v/>
      </c>
      <c r="V10" s="7">
        <f>IF(SUM(L10:O10)=0,"",N10/SUM(L10:O10))</f>
        <v/>
      </c>
      <c r="W10" s="7">
        <f>IF(SUM(L10:O10)=0,"",O10/SUM(L10:O10))</f>
        <v/>
      </c>
    </row>
    <row r="11">
      <c r="A11" t="n">
        <v>14</v>
      </c>
      <c r="B11" t="inlineStr">
        <is>
          <t>For example, the Midland Believes Scholarship, since 2017, has provided over $125,000 to first-generation college students to pursue postsecondary certificates and college degrees.</t>
        </is>
      </c>
      <c r="C11" t="n">
        <v>1</v>
      </c>
      <c r="D11" t="n">
        <v>2</v>
      </c>
      <c r="E11" t="n">
        <v>0</v>
      </c>
      <c r="F11" t="n">
        <v>0</v>
      </c>
      <c r="G11" t="b">
        <v>1</v>
      </c>
      <c r="H11" t="n">
        <v>0</v>
      </c>
      <c r="I11" t="n">
        <v>0</v>
      </c>
      <c r="J11" t="n">
        <v>1</v>
      </c>
      <c r="K11" t="n">
        <v>2</v>
      </c>
      <c r="L11" t="n">
        <v>0</v>
      </c>
      <c r="M11" t="n">
        <v>2</v>
      </c>
      <c r="N11" t="n">
        <v>0</v>
      </c>
      <c r="O11" t="n">
        <v>4</v>
      </c>
      <c r="P11" s="7">
        <f>IF(SUM(H11:K11)=0,"",H11/SUM(H11:K11))</f>
        <v/>
      </c>
      <c r="Q11" s="7">
        <f>IF(SUM(H11:K11)=0,"",I11/SUM(H11:K11))</f>
        <v/>
      </c>
      <c r="R11" s="7">
        <f>IF(SUM(H11:K11)=0,"",J11/SUM(H11:K11))</f>
        <v/>
      </c>
      <c r="S11" s="7">
        <f>IF(SUM(H11:K11)=0,"",K11/SUM(H11:K11))</f>
        <v/>
      </c>
      <c r="T11" s="7">
        <f>IF(SUM(L11:O11)=0,"",L11/SUM(L11:O11))</f>
        <v/>
      </c>
      <c r="U11" s="7">
        <f>IF(SUM(L11:O11)=0,"",M11/SUM(L11:O11))</f>
        <v/>
      </c>
      <c r="V11" s="7">
        <f>IF(SUM(L11:O11)=0,"",N11/SUM(L11:O11))</f>
        <v/>
      </c>
      <c r="W11" s="7">
        <f>IF(SUM(L11:O11)=0,"",O11/SUM(L11:O11))</f>
        <v/>
      </c>
    </row>
    <row r="12">
      <c r="A12" t="n">
        <v>15</v>
      </c>
      <c r="B12" t="inlineStr">
        <is>
          <t>Projects - Project funds permit [community_foundation_tag] members to donate for specific purposes. They provide an opportunity for [community_foundation_tag] to offer service and leadership to the community.</t>
        </is>
      </c>
      <c r="C12" t="n">
        <v>1</v>
      </c>
      <c r="D12" t="n">
        <v>2</v>
      </c>
      <c r="E12" t="n">
        <v>0</v>
      </c>
      <c r="F12" t="n">
        <v>0</v>
      </c>
      <c r="G12" t="b">
        <v>1</v>
      </c>
      <c r="H12" t="n">
        <v>0</v>
      </c>
      <c r="I12" t="n">
        <v>2</v>
      </c>
      <c r="J12" t="n">
        <v>1</v>
      </c>
      <c r="K12" t="n">
        <v>0</v>
      </c>
      <c r="L12" t="n">
        <v>1</v>
      </c>
      <c r="M12" t="n">
        <v>4</v>
      </c>
      <c r="N12" t="n">
        <v>1</v>
      </c>
      <c r="O12" t="n">
        <v>0</v>
      </c>
      <c r="P12" s="7">
        <f>IF(SUM(H12:K12)=0,"",H12/SUM(H12:K12))</f>
        <v/>
      </c>
      <c r="Q12" s="7">
        <f>IF(SUM(H12:K12)=0,"",I12/SUM(H12:K12))</f>
        <v/>
      </c>
      <c r="R12" s="7">
        <f>IF(SUM(H12:K12)=0,"",J12/SUM(H12:K12))</f>
        <v/>
      </c>
      <c r="S12" s="7">
        <f>IF(SUM(H12:K12)=0,"",K12/SUM(H12:K12))</f>
        <v/>
      </c>
      <c r="T12" s="7">
        <f>IF(SUM(L12:O12)=0,"",L12/SUM(L12:O12))</f>
        <v/>
      </c>
      <c r="U12" s="7">
        <f>IF(SUM(L12:O12)=0,"",M12/SUM(L12:O12))</f>
        <v/>
      </c>
      <c r="V12" s="7">
        <f>IF(SUM(L12:O12)=0,"",N12/SUM(L12:O12))</f>
        <v/>
      </c>
      <c r="W12" s="7">
        <f>IF(SUM(L12:O12)=0,"",O12/SUM(L12:O12))</f>
        <v/>
      </c>
    </row>
    <row r="13">
      <c r="A13" t="n">
        <v>16</v>
      </c>
      <c r="B13" t="inlineStr">
        <is>
          <t>These funds vary in size and scope.</t>
        </is>
      </c>
      <c r="C13" t="n">
        <v>0</v>
      </c>
      <c r="D13" t="n">
        <v>1</v>
      </c>
      <c r="E13" t="n">
        <v>0</v>
      </c>
      <c r="F13" t="n">
        <v>0</v>
      </c>
      <c r="G13" t="b">
        <v>0</v>
      </c>
      <c r="H13" t="n">
        <v>0</v>
      </c>
      <c r="I13" t="n">
        <v>0</v>
      </c>
      <c r="J13" t="n">
        <v>0</v>
      </c>
      <c r="K13" t="n">
        <v>0</v>
      </c>
      <c r="L13" t="n">
        <v>1</v>
      </c>
      <c r="M13" t="n">
        <v>2</v>
      </c>
      <c r="N13" t="n">
        <v>0</v>
      </c>
      <c r="O13" t="n">
        <v>0</v>
      </c>
      <c r="P13" s="7">
        <f>IF(SUM(H13:K13)=0,"",H13/SUM(H13:K13))</f>
        <v/>
      </c>
      <c r="Q13" s="7">
        <f>IF(SUM(H13:K13)=0,"",I13/SUM(H13:K13))</f>
        <v/>
      </c>
      <c r="R13" s="7">
        <f>IF(SUM(H13:K13)=0,"",J13/SUM(H13:K13))</f>
        <v/>
      </c>
      <c r="S13" s="7">
        <f>IF(SUM(H13:K13)=0,"",K13/SUM(H13:K13))</f>
        <v/>
      </c>
      <c r="T13" s="7">
        <f>IF(SUM(L13:O13)=0,"",L13/SUM(L13:O13))</f>
        <v/>
      </c>
      <c r="U13" s="7">
        <f>IF(SUM(L13:O13)=0,"",M13/SUM(L13:O13))</f>
        <v/>
      </c>
      <c r="V13" s="7">
        <f>IF(SUM(L13:O13)=0,"",N13/SUM(L13:O13))</f>
        <v/>
      </c>
      <c r="W13" s="7">
        <f>IF(SUM(L13:O13)=0,"",O13/SUM(L13:O13))</f>
        <v/>
      </c>
    </row>
    <row r="14">
      <c r="A14" t="n">
        <v>17</v>
      </c>
      <c r="B14" t="inlineStr">
        <is>
          <t>An excellent example of a project [community_foundation_tag] helped bring to life, with generous support from several community members and local family foundations, is The Tridge, Midland's iconic three-legged bridge that was erected in 1981.</t>
        </is>
      </c>
      <c r="C14" t="n">
        <v>1</v>
      </c>
      <c r="D14" t="n">
        <v>3</v>
      </c>
      <c r="E14" t="n">
        <v>0</v>
      </c>
      <c r="F14" t="n">
        <v>0</v>
      </c>
      <c r="G14" t="b">
        <v>1</v>
      </c>
      <c r="H14" t="n">
        <v>0</v>
      </c>
      <c r="I14" t="n">
        <v>0</v>
      </c>
      <c r="J14" t="n">
        <v>2</v>
      </c>
      <c r="K14" t="n">
        <v>0</v>
      </c>
      <c r="L14" t="n">
        <v>6</v>
      </c>
      <c r="M14" t="n">
        <v>0</v>
      </c>
      <c r="N14" t="n">
        <v>3</v>
      </c>
      <c r="O14" t="n">
        <v>0</v>
      </c>
      <c r="P14" s="7">
        <f>IF(SUM(H14:K14)=0,"",H14/SUM(H14:K14))</f>
        <v/>
      </c>
      <c r="Q14" s="7">
        <f>IF(SUM(H14:K14)=0,"",I14/SUM(H14:K14))</f>
        <v/>
      </c>
      <c r="R14" s="7">
        <f>IF(SUM(H14:K14)=0,"",J14/SUM(H14:K14))</f>
        <v/>
      </c>
      <c r="S14" s="7">
        <f>IF(SUM(H14:K14)=0,"",K14/SUM(H14:K14))</f>
        <v/>
      </c>
      <c r="T14" s="7">
        <f>IF(SUM(L14:O14)=0,"",L14/SUM(L14:O14))</f>
        <v/>
      </c>
      <c r="U14" s="7">
        <f>IF(SUM(L14:O14)=0,"",M14/SUM(L14:O14))</f>
        <v/>
      </c>
      <c r="V14" s="7">
        <f>IF(SUM(L14:O14)=0,"",N14/SUM(L14:O14))</f>
        <v/>
      </c>
      <c r="W14" s="7">
        <f>IF(SUM(L14:O14)=0,"",O14/SUM(L14:O14))</f>
        <v/>
      </c>
    </row>
    <row r="15">
      <c r="A15" t="n">
        <v>18</v>
      </c>
      <c r="B15" t="inlineStr">
        <is>
          <t>Initiatives - With initiatives like Midland Area Cultural Awareness Coalition, Midland Area Youth Impact Partnership, Midland Area Career &amp;amp; College Access Network, Public Arts Midland, and community events like Midland Area River Days, community members can participate in a group, activity, or event that represents their values. Community members can donate to existing funds like the Community Investment Fund to improve Midland, to specific funds representing their philanthropic goals, or to develop their own funds. [community_foundation_tag] permits donors to direct gifts broadly or narrowly to whatever issues they care about most.</t>
        </is>
      </c>
      <c r="C15" t="n">
        <v>1</v>
      </c>
      <c r="D15" t="n">
        <v>3</v>
      </c>
      <c r="E15" t="n">
        <v>0</v>
      </c>
      <c r="F15" t="n">
        <v>0</v>
      </c>
      <c r="G15" t="b">
        <v>1</v>
      </c>
      <c r="H15" t="n">
        <v>1</v>
      </c>
      <c r="I15" t="n">
        <v>2</v>
      </c>
      <c r="J15" t="n">
        <v>0</v>
      </c>
      <c r="K15" t="n">
        <v>0</v>
      </c>
      <c r="L15" t="n">
        <v>1</v>
      </c>
      <c r="M15" t="n">
        <v>6</v>
      </c>
      <c r="N15" t="n">
        <v>2</v>
      </c>
      <c r="O15" t="n">
        <v>0</v>
      </c>
      <c r="P15" s="7">
        <f>IF(SUM(H15:K15)=0,"",H15/SUM(H15:K15))</f>
        <v/>
      </c>
      <c r="Q15" s="7">
        <f>IF(SUM(H15:K15)=0,"",I15/SUM(H15:K15))</f>
        <v/>
      </c>
      <c r="R15" s="7">
        <f>IF(SUM(H15:K15)=0,"",J15/SUM(H15:K15))</f>
        <v/>
      </c>
      <c r="S15" s="7">
        <f>IF(SUM(H15:K15)=0,"",K15/SUM(H15:K15))</f>
        <v/>
      </c>
      <c r="T15" s="7">
        <f>IF(SUM(L15:O15)=0,"",L15/SUM(L15:O15))</f>
        <v/>
      </c>
      <c r="U15" s="7">
        <f>IF(SUM(L15:O15)=0,"",M15/SUM(L15:O15))</f>
        <v/>
      </c>
      <c r="V15" s="7">
        <f>IF(SUM(L15:O15)=0,"",N15/SUM(L15:O15))</f>
        <v/>
      </c>
      <c r="W15" s="7">
        <f>IF(SUM(L15:O15)=0,"",O15/SUM(L15:O15))</f>
        <v/>
      </c>
    </row>
    <row r="16">
      <c r="A16" t="n">
        <v>19</v>
      </c>
      <c r="B16" t="inlineStr">
        <is>
          <t>Contributions from donors change lives today and in the future. All donations allow individuals to directly engage in philanthropy - giving to those things that matter most to them.</t>
        </is>
      </c>
      <c r="C16" t="n">
        <v>1</v>
      </c>
      <c r="D16" t="n">
        <v>1</v>
      </c>
      <c r="E16" t="n">
        <v>1</v>
      </c>
      <c r="F16" t="n">
        <v>0</v>
      </c>
      <c r="G16" t="b">
        <v>1</v>
      </c>
      <c r="H16" t="n">
        <v>0</v>
      </c>
      <c r="I16" t="n">
        <v>0</v>
      </c>
      <c r="J16" t="n">
        <v>0</v>
      </c>
      <c r="K16" t="n">
        <v>0</v>
      </c>
      <c r="L16" t="n">
        <v>1</v>
      </c>
      <c r="M16" t="n">
        <v>2</v>
      </c>
      <c r="N16" t="n">
        <v>0</v>
      </c>
      <c r="O16" t="n">
        <v>0</v>
      </c>
      <c r="P16" s="7">
        <f>IF(SUM(H16:K16)=0,"",H16/SUM(H16:K16))</f>
        <v/>
      </c>
      <c r="Q16" s="7">
        <f>IF(SUM(H16:K16)=0,"",I16/SUM(H16:K16))</f>
        <v/>
      </c>
      <c r="R16" s="7">
        <f>IF(SUM(H16:K16)=0,"",J16/SUM(H16:K16))</f>
        <v/>
      </c>
      <c r="S16" s="7">
        <f>IF(SUM(H16:K16)=0,"",K16/SUM(H16:K16))</f>
        <v/>
      </c>
      <c r="T16" s="7">
        <f>IF(SUM(L16:O16)=0,"",L16/SUM(L16:O16))</f>
        <v/>
      </c>
      <c r="U16" s="7">
        <f>IF(SUM(L16:O16)=0,"",M16/SUM(L16:O16))</f>
        <v/>
      </c>
      <c r="V16" s="7">
        <f>IF(SUM(L16:O16)=0,"",N16/SUM(L16:O16))</f>
        <v/>
      </c>
      <c r="W16" s="7">
        <f>IF(SUM(L16:O16)=0,"",O16/SUM(L16:O16))</f>
        <v/>
      </c>
    </row>
    <row r="17">
      <c r="A17" t="n">
        <v>20</v>
      </c>
      <c r="B17" t="inlineStr">
        <is>
          <t>[community_foundation_tag] allows everyday people to invest in opportunities that enrich and improve quality of life, resulting in long-term</t>
        </is>
      </c>
      <c r="C17" t="n">
        <v>1</v>
      </c>
      <c r="D17" t="n">
        <v>2</v>
      </c>
      <c r="E17" t="n">
        <v>0</v>
      </c>
      <c r="F17" t="n">
        <v>0</v>
      </c>
      <c r="G17" t="b">
        <v>1</v>
      </c>
      <c r="H17" t="n">
        <v>0</v>
      </c>
      <c r="I17" t="n">
        <v>0</v>
      </c>
      <c r="J17" t="n">
        <v>2</v>
      </c>
      <c r="K17" t="n">
        <v>0</v>
      </c>
      <c r="L17" t="n">
        <v>4</v>
      </c>
      <c r="M17" t="n">
        <v>0</v>
      </c>
      <c r="N17" t="n">
        <v>2</v>
      </c>
      <c r="O17" t="n">
        <v>0</v>
      </c>
      <c r="P17" s="7">
        <f>IF(SUM(H17:K17)=0,"",H17/SUM(H17:K17))</f>
        <v/>
      </c>
      <c r="Q17" s="7">
        <f>IF(SUM(H17:K17)=0,"",I17/SUM(H17:K17))</f>
        <v/>
      </c>
      <c r="R17" s="7">
        <f>IF(SUM(H17:K17)=0,"",J17/SUM(H17:K17))</f>
        <v/>
      </c>
      <c r="S17" s="7">
        <f>IF(SUM(H17:K17)=0,"",K17/SUM(H17:K17))</f>
        <v/>
      </c>
      <c r="T17" s="7">
        <f>IF(SUM(L17:O17)=0,"",L17/SUM(L17:O17))</f>
        <v/>
      </c>
      <c r="U17" s="7">
        <f>IF(SUM(L17:O17)=0,"",M17/SUM(L17:O17))</f>
        <v/>
      </c>
      <c r="V17" s="7">
        <f>IF(SUM(L17:O17)=0,"",N17/SUM(L17:O17))</f>
        <v/>
      </c>
      <c r="W17" s="7">
        <f>IF(SUM(L17:O17)=0,"",O17/SUM(L17:O17))</f>
        <v/>
      </c>
    </row>
    <row r="18">
      <c r="A18" t="n">
        <v>21</v>
      </c>
      <c r="B18" t="inlineStr">
        <is>
          <t>community transformation.</t>
        </is>
      </c>
      <c r="C18" t="n">
        <v>1</v>
      </c>
      <c r="D18" t="n">
        <v>0</v>
      </c>
      <c r="E18" t="n">
        <v>0</v>
      </c>
      <c r="F18" t="n">
        <v>0</v>
      </c>
      <c r="G18" t="b">
        <v>0</v>
      </c>
      <c r="H18" t="n">
        <v>0</v>
      </c>
      <c r="I18" t="n">
        <v>0</v>
      </c>
      <c r="J18" t="n">
        <v>2</v>
      </c>
      <c r="K18" t="n">
        <v>0</v>
      </c>
      <c r="L18" t="n">
        <v>0</v>
      </c>
      <c r="M18" t="n">
        <v>0</v>
      </c>
      <c r="N18" t="n">
        <v>0</v>
      </c>
      <c r="O18" t="n">
        <v>0</v>
      </c>
      <c r="P18" s="7">
        <f>IF(SUM(H18:K18)=0,"",H18/SUM(H18:K18))</f>
        <v/>
      </c>
      <c r="Q18" s="7">
        <f>IF(SUM(H18:K18)=0,"",I18/SUM(H18:K18))</f>
        <v/>
      </c>
      <c r="R18" s="7">
        <f>IF(SUM(H18:K18)=0,"",J18/SUM(H18:K18))</f>
        <v/>
      </c>
      <c r="S18" s="7">
        <f>IF(SUM(H18:K18)=0,"",K18/SUM(H18:K18))</f>
        <v/>
      </c>
      <c r="T18" s="7">
        <f>IF(SUM(L18:O18)=0,"",L18/SUM(L18:O18))</f>
        <v/>
      </c>
      <c r="U18" s="7">
        <f>IF(SUM(L18:O18)=0,"",M18/SUM(L18:O18))</f>
        <v/>
      </c>
      <c r="V18" s="7">
        <f>IF(SUM(L18:O18)=0,"",N18/SUM(L18:O18))</f>
        <v/>
      </c>
      <c r="W18" s="7">
        <f>IF(SUM(L18:O18)=0,"",O18/SUM(L18:O18))</f>
        <v/>
      </c>
    </row>
    <row r="19">
      <c r="A19" t="n">
        <v>22</v>
      </c>
      <c r="B19" t="inlineStr">
        <is>
          <t>Message from [community_foundation_tag]</t>
        </is>
      </c>
      <c r="C19" t="n">
        <v>0</v>
      </c>
      <c r="D19" t="n">
        <v>0</v>
      </c>
      <c r="E19" t="n">
        <v>0</v>
      </c>
      <c r="F19" t="n">
        <v>0</v>
      </c>
      <c r="G19" t="b">
        <v>0</v>
      </c>
      <c r="H19" t="n">
        <v>0</v>
      </c>
      <c r="I19" t="n">
        <v>0</v>
      </c>
      <c r="J19" t="n">
        <v>0</v>
      </c>
      <c r="K19" t="n">
        <v>0</v>
      </c>
      <c r="L19" t="n">
        <v>0</v>
      </c>
      <c r="M19" t="n">
        <v>0</v>
      </c>
      <c r="N19" t="n">
        <v>0</v>
      </c>
      <c r="O19" t="n">
        <v>0</v>
      </c>
      <c r="P19" s="7">
        <f>IF(SUM(H19:K19)=0,"",H19/SUM(H19:K19))</f>
        <v/>
      </c>
      <c r="Q19" s="7">
        <f>IF(SUM(H19:K19)=0,"",I19/SUM(H19:K19))</f>
        <v/>
      </c>
      <c r="R19" s="7">
        <f>IF(SUM(H19:K19)=0,"",J19/SUM(H19:K19))</f>
        <v/>
      </c>
      <c r="S19" s="7">
        <f>IF(SUM(H19:K19)=0,"",K19/SUM(H19:K19))</f>
        <v/>
      </c>
      <c r="T19" s="7">
        <f>IF(SUM(L19:O19)=0,"",L19/SUM(L19:O19))</f>
        <v/>
      </c>
      <c r="U19" s="7">
        <f>IF(SUM(L19:O19)=0,"",M19/SUM(L19:O19))</f>
        <v/>
      </c>
      <c r="V19" s="7">
        <f>IF(SUM(L19:O19)=0,"",N19/SUM(L19:O19))</f>
        <v/>
      </c>
      <c r="W19" s="7">
        <f>IF(SUM(L19:O19)=0,"",O19/SUM(L19:O19))</f>
        <v/>
      </c>
    </row>
    <row r="20">
      <c r="A20" t="n">
        <v>23</v>
      </c>
      <c r="B20" t="inlineStr">
        <is>
          <t>CEO &amp;amp; Board Chair</t>
        </is>
      </c>
      <c r="C20" t="n">
        <v>0</v>
      </c>
      <c r="D20" t="n">
        <v>1</v>
      </c>
      <c r="E20" t="n">
        <v>0</v>
      </c>
      <c r="F20" t="n">
        <v>0</v>
      </c>
      <c r="G20" t="b">
        <v>0</v>
      </c>
      <c r="H20" t="n">
        <v>0</v>
      </c>
      <c r="I20" t="n">
        <v>0</v>
      </c>
      <c r="J20" t="n">
        <v>0</v>
      </c>
      <c r="K20" t="n">
        <v>0</v>
      </c>
      <c r="L20" t="n">
        <v>2</v>
      </c>
      <c r="M20" t="n">
        <v>0</v>
      </c>
      <c r="N20" t="n">
        <v>1</v>
      </c>
      <c r="O20" t="n">
        <v>0</v>
      </c>
      <c r="P20" s="7">
        <f>IF(SUM(H20:K20)=0,"",H20/SUM(H20:K20))</f>
        <v/>
      </c>
      <c r="Q20" s="7">
        <f>IF(SUM(H20:K20)=0,"",I20/SUM(H20:K20))</f>
        <v/>
      </c>
      <c r="R20" s="7">
        <f>IF(SUM(H20:K20)=0,"",J20/SUM(H20:K20))</f>
        <v/>
      </c>
      <c r="S20" s="7">
        <f>IF(SUM(H20:K20)=0,"",K20/SUM(H20:K20))</f>
        <v/>
      </c>
      <c r="T20" s="7">
        <f>IF(SUM(L20:O20)=0,"",L20/SUM(L20:O20))</f>
        <v/>
      </c>
      <c r="U20" s="7">
        <f>IF(SUM(L20:O20)=0,"",M20/SUM(L20:O20))</f>
        <v/>
      </c>
      <c r="V20" s="7">
        <f>IF(SUM(L20:O20)=0,"",N20/SUM(L20:O20))</f>
        <v/>
      </c>
      <c r="W20" s="7">
        <f>IF(SUM(L20:O20)=0,"",O20/SUM(L20:O20))</f>
        <v/>
      </c>
    </row>
    <row r="21">
      <c r="A21" t="n">
        <v>24</v>
      </c>
      <c r="B21" t="inlineStr">
        <is>
          <t>Dear Friends,</t>
        </is>
      </c>
      <c r="C21" t="n">
        <v>0</v>
      </c>
      <c r="D21" t="n">
        <v>0</v>
      </c>
      <c r="E21" t="n">
        <v>0</v>
      </c>
      <c r="F21" t="n">
        <v>0</v>
      </c>
      <c r="G21" t="b">
        <v>0</v>
      </c>
      <c r="H21" t="n">
        <v>0</v>
      </c>
      <c r="I21" t="n">
        <v>0</v>
      </c>
      <c r="J21" t="n">
        <v>0</v>
      </c>
      <c r="K21" t="n">
        <v>0</v>
      </c>
      <c r="L21" t="n">
        <v>0</v>
      </c>
      <c r="M21" t="n">
        <v>0</v>
      </c>
      <c r="N21" t="n">
        <v>0</v>
      </c>
      <c r="O21" t="n">
        <v>0</v>
      </c>
      <c r="P21" s="7">
        <f>IF(SUM(H21:K21)=0,"",H21/SUM(H21:K21))</f>
        <v/>
      </c>
      <c r="Q21" s="7">
        <f>IF(SUM(H21:K21)=0,"",I21/SUM(H21:K21))</f>
        <v/>
      </c>
      <c r="R21" s="7">
        <f>IF(SUM(H21:K21)=0,"",J21/SUM(H21:K21))</f>
        <v/>
      </c>
      <c r="S21" s="7">
        <f>IF(SUM(H21:K21)=0,"",K21/SUM(H21:K21))</f>
        <v/>
      </c>
      <c r="T21" s="7">
        <f>IF(SUM(L21:O21)=0,"",L21/SUM(L21:O21))</f>
        <v/>
      </c>
      <c r="U21" s="7">
        <f>IF(SUM(L21:O21)=0,"",M21/SUM(L21:O21))</f>
        <v/>
      </c>
      <c r="V21" s="7">
        <f>IF(SUM(L21:O21)=0,"",N21/SUM(L21:O21))</f>
        <v/>
      </c>
      <c r="W21" s="7">
        <f>IF(SUM(L21:O21)=0,"",O21/SUM(L21:O21))</f>
        <v/>
      </c>
    </row>
    <row r="22">
      <c r="A22" t="n">
        <v>25</v>
      </c>
      <c r="B22" t="inlineStr">
        <is>
          <t>Thank you for joining [community_foundation_tag] to build a vibrant, thriving community.</t>
        </is>
      </c>
      <c r="C22" t="n">
        <v>1</v>
      </c>
      <c r="D22" t="n">
        <v>2</v>
      </c>
      <c r="E22" t="n">
        <v>0</v>
      </c>
      <c r="F22" t="n">
        <v>0</v>
      </c>
      <c r="G22" t="b">
        <v>1</v>
      </c>
      <c r="H22" t="n">
        <v>2</v>
      </c>
      <c r="I22" t="n">
        <v>0</v>
      </c>
      <c r="J22" t="n">
        <v>0</v>
      </c>
      <c r="K22" t="n">
        <v>0</v>
      </c>
      <c r="L22" t="n">
        <v>4</v>
      </c>
      <c r="M22" t="n">
        <v>0</v>
      </c>
      <c r="N22" t="n">
        <v>2</v>
      </c>
      <c r="O22" t="n">
        <v>0</v>
      </c>
      <c r="P22" s="7">
        <f>IF(SUM(H22:K22)=0,"",H22/SUM(H22:K22))</f>
        <v/>
      </c>
      <c r="Q22" s="7">
        <f>IF(SUM(H22:K22)=0,"",I22/SUM(H22:K22))</f>
        <v/>
      </c>
      <c r="R22" s="7">
        <f>IF(SUM(H22:K22)=0,"",J22/SUM(H22:K22))</f>
        <v/>
      </c>
      <c r="S22" s="7">
        <f>IF(SUM(H22:K22)=0,"",K22/SUM(H22:K22))</f>
        <v/>
      </c>
      <c r="T22" s="7">
        <f>IF(SUM(L22:O22)=0,"",L22/SUM(L22:O22))</f>
        <v/>
      </c>
      <c r="U22" s="7">
        <f>IF(SUM(L22:O22)=0,"",M22/SUM(L22:O22))</f>
        <v/>
      </c>
      <c r="V22" s="7">
        <f>IF(SUM(L22:O22)=0,"",N22/SUM(L22:O22))</f>
        <v/>
      </c>
      <c r="W22" s="7">
        <f>IF(SUM(L22:O22)=0,"",O22/SUM(L22:O22))</f>
        <v/>
      </c>
    </row>
    <row r="23">
      <c r="A23" t="n">
        <v>26</v>
      </c>
      <c r="B23" t="inlineStr">
        <is>
          <t>As [community_foundation_tag] celebrate [community_foundation_tag] 50th anniversary year, [community_foundation_tag] reflect on the many transformational changes that have taken place in the Midland area since the founding of [community_foundation_tag].</t>
        </is>
      </c>
      <c r="C23" t="n">
        <v>0</v>
      </c>
      <c r="D23" t="n">
        <v>1</v>
      </c>
      <c r="E23" t="n">
        <v>0</v>
      </c>
      <c r="F23" t="n">
        <v>0</v>
      </c>
      <c r="G23" t="b">
        <v>0</v>
      </c>
      <c r="H23" t="n">
        <v>0</v>
      </c>
      <c r="I23" t="n">
        <v>0</v>
      </c>
      <c r="J23" t="n">
        <v>0</v>
      </c>
      <c r="K23" t="n">
        <v>0</v>
      </c>
      <c r="L23" t="n">
        <v>2</v>
      </c>
      <c r="M23" t="n">
        <v>0</v>
      </c>
      <c r="N23" t="n">
        <v>1</v>
      </c>
      <c r="O23" t="n">
        <v>0</v>
      </c>
      <c r="P23" s="7">
        <f>IF(SUM(H23:K23)=0,"",H23/SUM(H23:K23))</f>
        <v/>
      </c>
      <c r="Q23" s="7">
        <f>IF(SUM(H23:K23)=0,"",I23/SUM(H23:K23))</f>
        <v/>
      </c>
      <c r="R23" s="7">
        <f>IF(SUM(H23:K23)=0,"",J23/SUM(H23:K23))</f>
        <v/>
      </c>
      <c r="S23" s="7">
        <f>IF(SUM(H23:K23)=0,"",K23/SUM(H23:K23))</f>
        <v/>
      </c>
      <c r="T23" s="7">
        <f>IF(SUM(L23:O23)=0,"",L23/SUM(L23:O23))</f>
        <v/>
      </c>
      <c r="U23" s="7">
        <f>IF(SUM(L23:O23)=0,"",M23/SUM(L23:O23))</f>
        <v/>
      </c>
      <c r="V23" s="7">
        <f>IF(SUM(L23:O23)=0,"",N23/SUM(L23:O23))</f>
        <v/>
      </c>
      <c r="W23" s="7">
        <f>IF(SUM(L23:O23)=0,"",O23/SUM(L23:O23))</f>
        <v/>
      </c>
    </row>
    <row r="24">
      <c r="A24" t="n">
        <v>27</v>
      </c>
      <c r="B24" t="inlineStr">
        <is>
          <t>The theme for this year's annual report is transformation.</t>
        </is>
      </c>
      <c r="C24" t="n">
        <v>0</v>
      </c>
      <c r="D24" t="n">
        <v>0</v>
      </c>
      <c r="E24" t="n">
        <v>0</v>
      </c>
      <c r="F24" t="n">
        <v>0</v>
      </c>
      <c r="G24" t="b">
        <v>0</v>
      </c>
      <c r="H24" t="n">
        <v>0</v>
      </c>
      <c r="I24" t="n">
        <v>0</v>
      </c>
      <c r="J24" t="n">
        <v>0</v>
      </c>
      <c r="K24" t="n">
        <v>0</v>
      </c>
      <c r="L24" t="n">
        <v>0</v>
      </c>
      <c r="M24" t="n">
        <v>0</v>
      </c>
      <c r="N24" t="n">
        <v>0</v>
      </c>
      <c r="O24" t="n">
        <v>0</v>
      </c>
      <c r="P24" s="7">
        <f>IF(SUM(H24:K24)=0,"",H24/SUM(H24:K24))</f>
        <v/>
      </c>
      <c r="Q24" s="7">
        <f>IF(SUM(H24:K24)=0,"",I24/SUM(H24:K24))</f>
        <v/>
      </c>
      <c r="R24" s="7">
        <f>IF(SUM(H24:K24)=0,"",J24/SUM(H24:K24))</f>
        <v/>
      </c>
      <c r="S24" s="7">
        <f>IF(SUM(H24:K24)=0,"",K24/SUM(H24:K24))</f>
        <v/>
      </c>
      <c r="T24" s="7">
        <f>IF(SUM(L24:O24)=0,"",L24/SUM(L24:O24))</f>
        <v/>
      </c>
      <c r="U24" s="7">
        <f>IF(SUM(L24:O24)=0,"",M24/SUM(L24:O24))</f>
        <v/>
      </c>
      <c r="V24" s="7">
        <f>IF(SUM(L24:O24)=0,"",N24/SUM(L24:O24))</f>
        <v/>
      </c>
      <c r="W24" s="7">
        <f>IF(SUM(L24:O24)=0,"",O24/SUM(L24:O24))</f>
        <v/>
      </c>
    </row>
    <row r="25">
      <c r="A25" t="n">
        <v>28</v>
      </c>
      <c r="B25" t="inlineStr">
        <is>
          <t>The Cambridge Dictionary defines transformation as 'a complete change in the appearance or character of something or someone, especially so that that thing or person is improved.'</t>
        </is>
      </c>
      <c r="C25" t="n">
        <v>1</v>
      </c>
      <c r="D25" t="n">
        <v>0</v>
      </c>
      <c r="E25" t="n">
        <v>0</v>
      </c>
      <c r="F25" t="n">
        <v>0</v>
      </c>
      <c r="G25" t="b">
        <v>0</v>
      </c>
      <c r="H25" t="n">
        <v>0</v>
      </c>
      <c r="I25" t="n">
        <v>0</v>
      </c>
      <c r="J25" t="n">
        <v>2</v>
      </c>
      <c r="K25" t="n">
        <v>0</v>
      </c>
      <c r="L25" t="n">
        <v>0</v>
      </c>
      <c r="M25" t="n">
        <v>0</v>
      </c>
      <c r="N25" t="n">
        <v>0</v>
      </c>
      <c r="O25" t="n">
        <v>0</v>
      </c>
      <c r="P25" s="7">
        <f>IF(SUM(H25:K25)=0,"",H25/SUM(H25:K25))</f>
        <v/>
      </c>
      <c r="Q25" s="7">
        <f>IF(SUM(H25:K25)=0,"",I25/SUM(H25:K25))</f>
        <v/>
      </c>
      <c r="R25" s="7">
        <f>IF(SUM(H25:K25)=0,"",J25/SUM(H25:K25))</f>
        <v/>
      </c>
      <c r="S25" s="7">
        <f>IF(SUM(H25:K25)=0,"",K25/SUM(H25:K25))</f>
        <v/>
      </c>
      <c r="T25" s="7">
        <f>IF(SUM(L25:O25)=0,"",L25/SUM(L25:O25))</f>
        <v/>
      </c>
      <c r="U25" s="7">
        <f>IF(SUM(L25:O25)=0,"",M25/SUM(L25:O25))</f>
        <v/>
      </c>
      <c r="V25" s="7">
        <f>IF(SUM(L25:O25)=0,"",N25/SUM(L25:O25))</f>
        <v/>
      </c>
      <c r="W25" s="7">
        <f>IF(SUM(L25:O25)=0,"",O25/SUM(L25:O25))</f>
        <v/>
      </c>
    </row>
    <row r="26">
      <c r="A26" t="n">
        <v>29</v>
      </c>
      <c r="B26" t="inlineStr">
        <is>
          <t>Some of the photos in [community_foundation_tag] annual report show physical transformational changes in [community_foundation_tag] community, like the building of the Tridge, the development of the Rail Trail, and the construction of the Santa House.</t>
        </is>
      </c>
      <c r="C26" t="n">
        <v>1</v>
      </c>
      <c r="D26" t="n">
        <v>1</v>
      </c>
      <c r="E26" t="n">
        <v>0</v>
      </c>
      <c r="F26" t="n">
        <v>0</v>
      </c>
      <c r="G26" t="b">
        <v>1</v>
      </c>
      <c r="H26" t="n">
        <v>0</v>
      </c>
      <c r="I26" t="n">
        <v>0</v>
      </c>
      <c r="J26" t="n">
        <v>2</v>
      </c>
      <c r="K26" t="n">
        <v>0</v>
      </c>
      <c r="L26" t="n">
        <v>2</v>
      </c>
      <c r="M26" t="n">
        <v>0</v>
      </c>
      <c r="N26" t="n">
        <v>1</v>
      </c>
      <c r="O26" t="n">
        <v>0</v>
      </c>
      <c r="P26" s="7">
        <f>IF(SUM(H26:K26)=0,"",H26/SUM(H26:K26))</f>
        <v/>
      </c>
      <c r="Q26" s="7">
        <f>IF(SUM(H26:K26)=0,"",I26/SUM(H26:K26))</f>
        <v/>
      </c>
      <c r="R26" s="7">
        <f>IF(SUM(H26:K26)=0,"",J26/SUM(H26:K26))</f>
        <v/>
      </c>
      <c r="S26" s="7">
        <f>IF(SUM(H26:K26)=0,"",K26/SUM(H26:K26))</f>
        <v/>
      </c>
      <c r="T26" s="7">
        <f>IF(SUM(L26:O26)=0,"",L26/SUM(L26:O26))</f>
        <v/>
      </c>
      <c r="U26" s="7">
        <f>IF(SUM(L26:O26)=0,"",M26/SUM(L26:O26))</f>
        <v/>
      </c>
      <c r="V26" s="7">
        <f>IF(SUM(L26:O26)=0,"",N26/SUM(L26:O26))</f>
        <v/>
      </c>
      <c r="W26" s="7">
        <f>IF(SUM(L26:O26)=0,"",O26/SUM(L26:O26))</f>
        <v/>
      </c>
    </row>
    <row r="27">
      <c r="A27" t="n">
        <v>30</v>
      </c>
      <c r="B27" t="inlineStr">
        <is>
          <t>Other transformational changes can be less obvious, like providing resources so [community_foundation_tag] youngest learners have access to high quality preschool education to ensure greater success in school or offering financial support so [community_foundation_tag] high school graduates are able to complete post-secondary education opening the door to meaningful employment opportunities.</t>
        </is>
      </c>
      <c r="C27" t="n">
        <v>1</v>
      </c>
      <c r="D27" t="n">
        <v>2</v>
      </c>
      <c r="E27" t="n">
        <v>0</v>
      </c>
      <c r="F27" t="n">
        <v>0</v>
      </c>
      <c r="G27" t="b">
        <v>1</v>
      </c>
      <c r="H27" t="n">
        <v>0</v>
      </c>
      <c r="I27" t="n">
        <v>0</v>
      </c>
      <c r="J27" t="n">
        <v>2</v>
      </c>
      <c r="K27" t="n">
        <v>0</v>
      </c>
      <c r="L27" t="n">
        <v>1</v>
      </c>
      <c r="M27" t="n">
        <v>1</v>
      </c>
      <c r="N27" t="n">
        <v>4</v>
      </c>
      <c r="O27" t="n">
        <v>0</v>
      </c>
      <c r="P27" s="7">
        <f>IF(SUM(H27:K27)=0,"",H27/SUM(H27:K27))</f>
        <v/>
      </c>
      <c r="Q27" s="7">
        <f>IF(SUM(H27:K27)=0,"",I27/SUM(H27:K27))</f>
        <v/>
      </c>
      <c r="R27" s="7">
        <f>IF(SUM(H27:K27)=0,"",J27/SUM(H27:K27))</f>
        <v/>
      </c>
      <c r="S27" s="7">
        <f>IF(SUM(H27:K27)=0,"",K27/SUM(H27:K27))</f>
        <v/>
      </c>
      <c r="T27" s="7">
        <f>IF(SUM(L27:O27)=0,"",L27/SUM(L27:O27))</f>
        <v/>
      </c>
      <c r="U27" s="7">
        <f>IF(SUM(L27:O27)=0,"",M27/SUM(L27:O27))</f>
        <v/>
      </c>
      <c r="V27" s="7">
        <f>IF(SUM(L27:O27)=0,"",N27/SUM(L27:O27))</f>
        <v/>
      </c>
      <c r="W27" s="7">
        <f>IF(SUM(L27:O27)=0,"",O27/SUM(L27:O27))</f>
        <v/>
      </c>
    </row>
    <row r="28">
      <c r="A28" t="n">
        <v>31</v>
      </c>
      <c r="B28" t="inlineStr">
        <is>
          <t>Whether visible or not, [community_foundation_tag] are constantly working to find ways to positively transform the Midland area.</t>
        </is>
      </c>
      <c r="C28" t="n">
        <v>1</v>
      </c>
      <c r="D28" t="n">
        <v>1</v>
      </c>
      <c r="E28" t="n">
        <v>0</v>
      </c>
      <c r="F28" t="n">
        <v>0</v>
      </c>
      <c r="G28" t="b">
        <v>1</v>
      </c>
      <c r="H28" t="n">
        <v>0</v>
      </c>
      <c r="I28" t="n">
        <v>0</v>
      </c>
      <c r="J28" t="n">
        <v>2</v>
      </c>
      <c r="K28" t="n">
        <v>0</v>
      </c>
      <c r="L28" t="n">
        <v>1</v>
      </c>
      <c r="M28" t="n">
        <v>0</v>
      </c>
      <c r="N28" t="n">
        <v>2</v>
      </c>
      <c r="O28" t="n">
        <v>0</v>
      </c>
      <c r="P28" s="7">
        <f>IF(SUM(H28:K28)=0,"",H28/SUM(H28:K28))</f>
        <v/>
      </c>
      <c r="Q28" s="7">
        <f>IF(SUM(H28:K28)=0,"",I28/SUM(H28:K28))</f>
        <v/>
      </c>
      <c r="R28" s="7">
        <f>IF(SUM(H28:K28)=0,"",J28/SUM(H28:K28))</f>
        <v/>
      </c>
      <c r="S28" s="7">
        <f>IF(SUM(H28:K28)=0,"",K28/SUM(H28:K28))</f>
        <v/>
      </c>
      <c r="T28" s="7">
        <f>IF(SUM(L28:O28)=0,"",L28/SUM(L28:O28))</f>
        <v/>
      </c>
      <c r="U28" s="7">
        <f>IF(SUM(L28:O28)=0,"",M28/SUM(L28:O28))</f>
        <v/>
      </c>
      <c r="V28" s="7">
        <f>IF(SUM(L28:O28)=0,"",N28/SUM(L28:O28))</f>
        <v/>
      </c>
      <c r="W28" s="7">
        <f>IF(SUM(L28:O28)=0,"",O28/SUM(L28:O28))</f>
        <v/>
      </c>
    </row>
    <row r="29">
      <c r="A29" t="n">
        <v>32</v>
      </c>
      <c r="B29" t="inlineStr">
        <is>
          <t>[individual_tag], author of The Purpose Driven Life stated, "Transformation is a process, and as life happens there are tons of ups and downs.</t>
        </is>
      </c>
      <c r="C29" t="n">
        <v>0</v>
      </c>
      <c r="D29" t="n">
        <v>0</v>
      </c>
      <c r="E29" t="n">
        <v>0</v>
      </c>
      <c r="F29" t="n">
        <v>0</v>
      </c>
      <c r="G29" t="b">
        <v>0</v>
      </c>
      <c r="H29" t="n">
        <v>0</v>
      </c>
      <c r="I29" t="n">
        <v>0</v>
      </c>
      <c r="J29" t="n">
        <v>0</v>
      </c>
      <c r="K29" t="n">
        <v>0</v>
      </c>
      <c r="L29" t="n">
        <v>0</v>
      </c>
      <c r="M29" t="n">
        <v>0</v>
      </c>
      <c r="N29" t="n">
        <v>0</v>
      </c>
      <c r="O29" t="n">
        <v>0</v>
      </c>
      <c r="P29" s="7">
        <f>IF(SUM(H29:K29)=0,"",H29/SUM(H29:K29))</f>
        <v/>
      </c>
      <c r="Q29" s="7">
        <f>IF(SUM(H29:K29)=0,"",I29/SUM(H29:K29))</f>
        <v/>
      </c>
      <c r="R29" s="7">
        <f>IF(SUM(H29:K29)=0,"",J29/SUM(H29:K29))</f>
        <v/>
      </c>
      <c r="S29" s="7">
        <f>IF(SUM(H29:K29)=0,"",K29/SUM(H29:K29))</f>
        <v/>
      </c>
      <c r="T29" s="7">
        <f>IF(SUM(L29:O29)=0,"",L29/SUM(L29:O29))</f>
        <v/>
      </c>
      <c r="U29" s="7">
        <f>IF(SUM(L29:O29)=0,"",M29/SUM(L29:O29))</f>
        <v/>
      </c>
      <c r="V29" s="7">
        <f>IF(SUM(L29:O29)=0,"",N29/SUM(L29:O29))</f>
        <v/>
      </c>
      <c r="W29" s="7">
        <f>IF(SUM(L29:O29)=0,"",O29/SUM(L29:O29))</f>
        <v/>
      </c>
    </row>
    <row r="30">
      <c r="A30" t="n">
        <v>33</v>
      </c>
      <c r="B30" t="inlineStr">
        <is>
          <t>It's a journey of discovery."</t>
        </is>
      </c>
      <c r="C30" t="n">
        <v>0</v>
      </c>
      <c r="D30" t="n">
        <v>0</v>
      </c>
      <c r="E30" t="n">
        <v>0</v>
      </c>
      <c r="F30" t="n">
        <v>0</v>
      </c>
      <c r="G30" t="b">
        <v>0</v>
      </c>
      <c r="H30" t="n">
        <v>0</v>
      </c>
      <c r="I30" t="n">
        <v>0</v>
      </c>
      <c r="J30" t="n">
        <v>0</v>
      </c>
      <c r="K30" t="n">
        <v>0</v>
      </c>
      <c r="L30" t="n">
        <v>0</v>
      </c>
      <c r="M30" t="n">
        <v>0</v>
      </c>
      <c r="N30" t="n">
        <v>0</v>
      </c>
      <c r="O30" t="n">
        <v>0</v>
      </c>
      <c r="P30" s="7">
        <f>IF(SUM(H30:K30)=0,"",H30/SUM(H30:K30))</f>
        <v/>
      </c>
      <c r="Q30" s="7">
        <f>IF(SUM(H30:K30)=0,"",I30/SUM(H30:K30))</f>
        <v/>
      </c>
      <c r="R30" s="7">
        <f>IF(SUM(H30:K30)=0,"",J30/SUM(H30:K30))</f>
        <v/>
      </c>
      <c r="S30" s="7">
        <f>IF(SUM(H30:K30)=0,"",K30/SUM(H30:K30))</f>
        <v/>
      </c>
      <c r="T30" s="7">
        <f>IF(SUM(L30:O30)=0,"",L30/SUM(L30:O30))</f>
        <v/>
      </c>
      <c r="U30" s="7">
        <f>IF(SUM(L30:O30)=0,"",M30/SUM(L30:O30))</f>
        <v/>
      </c>
      <c r="V30" s="7">
        <f>IF(SUM(L30:O30)=0,"",N30/SUM(L30:O30))</f>
        <v/>
      </c>
      <c r="W30" s="7">
        <f>IF(SUM(L30:O30)=0,"",O30/SUM(L30:O30))</f>
        <v/>
      </c>
    </row>
    <row r="31">
      <c r="A31" t="n">
        <v>34</v>
      </c>
      <c r="B31" t="inlineStr">
        <is>
          <t>[community_foundation_tag] have had [community_foundation_tag] share of ups and downs particularly in recent years with the pandemic and the dam failures and resulting flooding. Through this journey, [community_foundation_tag]'ve shown [community_foundation_tag] care for neighbors and [community_foundation_tag] willingness to move together and forward in a bold way so that all in [community_foundation_tag] community can thrive.</t>
        </is>
      </c>
      <c r="C31" t="n">
        <v>1</v>
      </c>
      <c r="D31" t="n">
        <v>2</v>
      </c>
      <c r="E31" t="n">
        <v>0</v>
      </c>
      <c r="F31" t="n">
        <v>0</v>
      </c>
      <c r="G31" t="b">
        <v>1</v>
      </c>
      <c r="H31" t="n">
        <v>2</v>
      </c>
      <c r="I31" t="n">
        <v>0</v>
      </c>
      <c r="J31" t="n">
        <v>0</v>
      </c>
      <c r="K31" t="n">
        <v>0</v>
      </c>
      <c r="L31" t="n">
        <v>4</v>
      </c>
      <c r="M31" t="n">
        <v>0</v>
      </c>
      <c r="N31" t="n">
        <v>0</v>
      </c>
      <c r="O31" t="n">
        <v>2</v>
      </c>
      <c r="P31" s="7">
        <f>IF(SUM(H31:K31)=0,"",H31/SUM(H31:K31))</f>
        <v/>
      </c>
      <c r="Q31" s="7">
        <f>IF(SUM(H31:K31)=0,"",I31/SUM(H31:K31))</f>
        <v/>
      </c>
      <c r="R31" s="7">
        <f>IF(SUM(H31:K31)=0,"",J31/SUM(H31:K31))</f>
        <v/>
      </c>
      <c r="S31" s="7">
        <f>IF(SUM(H31:K31)=0,"",K31/SUM(H31:K31))</f>
        <v/>
      </c>
      <c r="T31" s="7">
        <f>IF(SUM(L31:O31)=0,"",L31/SUM(L31:O31))</f>
        <v/>
      </c>
      <c r="U31" s="7">
        <f>IF(SUM(L31:O31)=0,"",M31/SUM(L31:O31))</f>
        <v/>
      </c>
      <c r="V31" s="7">
        <f>IF(SUM(L31:O31)=0,"",N31/SUM(L31:O31))</f>
        <v/>
      </c>
      <c r="W31" s="7">
        <f>IF(SUM(L31:O31)=0,"",O31/SUM(L31:O31))</f>
        <v/>
      </c>
    </row>
    <row r="32">
      <c r="A32" t="n">
        <v>35</v>
      </c>
      <c r="B32" t="inlineStr">
        <is>
          <t>Community foundations are designed to demonstrate their love of community, working to be 'for good, for ever, for all.' It is a joy to work together with all of you to bring about positive changes as [community_foundation_tag] pursue [community_foundation_tag] purpose of cultivating the power of giving within [community_foundation_tag] community, supporting long-term transformation, and helping ensure all residents thrive.</t>
        </is>
      </c>
      <c r="C32" t="n">
        <v>1</v>
      </c>
      <c r="D32" t="n">
        <v>3</v>
      </c>
      <c r="E32" t="n">
        <v>0</v>
      </c>
      <c r="F32" t="n">
        <v>0</v>
      </c>
      <c r="G32" t="b">
        <v>1</v>
      </c>
      <c r="H32" t="n">
        <v>2</v>
      </c>
      <c r="I32" t="n">
        <v>0</v>
      </c>
      <c r="J32" t="n">
        <v>1</v>
      </c>
      <c r="K32" t="n">
        <v>0</v>
      </c>
      <c r="L32" t="n">
        <v>6</v>
      </c>
      <c r="M32" t="n">
        <v>0</v>
      </c>
      <c r="N32" t="n">
        <v>0</v>
      </c>
      <c r="O32" t="n">
        <v>3</v>
      </c>
      <c r="P32" s="7">
        <f>IF(SUM(H32:K32)=0,"",H32/SUM(H32:K32))</f>
        <v/>
      </c>
      <c r="Q32" s="7">
        <f>IF(SUM(H32:K32)=0,"",I32/SUM(H32:K32))</f>
        <v/>
      </c>
      <c r="R32" s="7">
        <f>IF(SUM(H32:K32)=0,"",J32/SUM(H32:K32))</f>
        <v/>
      </c>
      <c r="S32" s="7">
        <f>IF(SUM(H32:K32)=0,"",K32/SUM(H32:K32))</f>
        <v/>
      </c>
      <c r="T32" s="7">
        <f>IF(SUM(L32:O32)=0,"",L32/SUM(L32:O32))</f>
        <v/>
      </c>
      <c r="U32" s="7">
        <f>IF(SUM(L32:O32)=0,"",M32/SUM(L32:O32))</f>
        <v/>
      </c>
      <c r="V32" s="7">
        <f>IF(SUM(L32:O32)=0,"",N32/SUM(L32:O32))</f>
        <v/>
      </c>
      <c r="W32" s="7">
        <f>IF(SUM(L32:O32)=0,"",O32/SUM(L32:O32))</f>
        <v/>
      </c>
    </row>
    <row r="33">
      <c r="A33" t="n">
        <v>36</v>
      </c>
      <c r="B33" t="inlineStr">
        <is>
          <t>As [individual_tag] said, 'Unless someone like you cares a whole awful lot, nothing is going to get better.</t>
        </is>
      </c>
      <c r="C33" t="n">
        <v>0</v>
      </c>
      <c r="D33" t="n">
        <v>0</v>
      </c>
      <c r="E33" t="n">
        <v>0</v>
      </c>
      <c r="F33" t="n">
        <v>0</v>
      </c>
      <c r="G33" t="b">
        <v>0</v>
      </c>
      <c r="H33" t="n">
        <v>0</v>
      </c>
      <c r="I33" t="n">
        <v>0</v>
      </c>
      <c r="J33" t="n">
        <v>0</v>
      </c>
      <c r="K33" t="n">
        <v>0</v>
      </c>
      <c r="L33" t="n">
        <v>0</v>
      </c>
      <c r="M33" t="n">
        <v>0</v>
      </c>
      <c r="N33" t="n">
        <v>0</v>
      </c>
      <c r="O33" t="n">
        <v>0</v>
      </c>
      <c r="P33" s="7">
        <f>IF(SUM(H33:K33)=0,"",H33/SUM(H33:K33))</f>
        <v/>
      </c>
      <c r="Q33" s="7">
        <f>IF(SUM(H33:K33)=0,"",I33/SUM(H33:K33))</f>
        <v/>
      </c>
      <c r="R33" s="7">
        <f>IF(SUM(H33:K33)=0,"",J33/SUM(H33:K33))</f>
        <v/>
      </c>
      <c r="S33" s="7">
        <f>IF(SUM(H33:K33)=0,"",K33/SUM(H33:K33))</f>
        <v/>
      </c>
      <c r="T33" s="7">
        <f>IF(SUM(L33:O33)=0,"",L33/SUM(L33:O33))</f>
        <v/>
      </c>
      <c r="U33" s="7">
        <f>IF(SUM(L33:O33)=0,"",M33/SUM(L33:O33))</f>
        <v/>
      </c>
      <c r="V33" s="7">
        <f>IF(SUM(L33:O33)=0,"",N33/SUM(L33:O33))</f>
        <v/>
      </c>
      <c r="W33" s="7">
        <f>IF(SUM(L33:O33)=0,"",O33/SUM(L33:O33))</f>
        <v/>
      </c>
    </row>
    <row r="34">
      <c r="A34" t="n">
        <v>37</v>
      </c>
      <c r="B34" t="inlineStr">
        <is>
          <t>It's not.'</t>
        </is>
      </c>
      <c r="C34" t="n">
        <v>0</v>
      </c>
      <c r="D34" t="n">
        <v>0</v>
      </c>
      <c r="E34" t="n">
        <v>0</v>
      </c>
      <c r="F34" t="n">
        <v>0</v>
      </c>
      <c r="G34" t="b">
        <v>0</v>
      </c>
      <c r="H34" t="n">
        <v>0</v>
      </c>
      <c r="I34" t="n">
        <v>0</v>
      </c>
      <c r="J34" t="n">
        <v>0</v>
      </c>
      <c r="K34" t="n">
        <v>0</v>
      </c>
      <c r="L34" t="n">
        <v>0</v>
      </c>
      <c r="M34" t="n">
        <v>0</v>
      </c>
      <c r="N34" t="n">
        <v>0</v>
      </c>
      <c r="O34" t="n">
        <v>0</v>
      </c>
      <c r="P34" s="7">
        <f>IF(SUM(H34:K34)=0,"",H34/SUM(H34:K34))</f>
        <v/>
      </c>
      <c r="Q34" s="7">
        <f>IF(SUM(H34:K34)=0,"",I34/SUM(H34:K34))</f>
        <v/>
      </c>
      <c r="R34" s="7">
        <f>IF(SUM(H34:K34)=0,"",J34/SUM(H34:K34))</f>
        <v/>
      </c>
      <c r="S34" s="7">
        <f>IF(SUM(H34:K34)=0,"",K34/SUM(H34:K34))</f>
        <v/>
      </c>
      <c r="T34" s="7">
        <f>IF(SUM(L34:O34)=0,"",L34/SUM(L34:O34))</f>
        <v/>
      </c>
      <c r="U34" s="7">
        <f>IF(SUM(L34:O34)=0,"",M34/SUM(L34:O34))</f>
        <v/>
      </c>
      <c r="V34" s="7">
        <f>IF(SUM(L34:O34)=0,"",N34/SUM(L34:O34))</f>
        <v/>
      </c>
      <c r="W34" s="7">
        <f>IF(SUM(L34:O34)=0,"",O34/SUM(L34:O34))</f>
        <v/>
      </c>
    </row>
    <row r="35">
      <c r="A35" t="n">
        <v>38</v>
      </c>
      <c r="B35" t="inlineStr">
        <is>
          <t>Thanks for caring a 'whole awful lot' with [community_foundation_tag] as [community_foundation_tag] continue [community_foundation_tag] journey of transformation, helping to change [community_foundation_tag] corner of the world for the better.</t>
        </is>
      </c>
      <c r="C35" t="n">
        <v>1</v>
      </c>
      <c r="D35" t="n">
        <v>2</v>
      </c>
      <c r="E35" t="n">
        <v>0</v>
      </c>
      <c r="F35" t="n">
        <v>0</v>
      </c>
      <c r="G35" t="b">
        <v>1</v>
      </c>
      <c r="H35" t="n">
        <v>0</v>
      </c>
      <c r="I35" t="n">
        <v>0</v>
      </c>
      <c r="J35" t="n">
        <v>2</v>
      </c>
      <c r="K35" t="n">
        <v>0</v>
      </c>
      <c r="L35" t="n">
        <v>4</v>
      </c>
      <c r="M35" t="n">
        <v>0</v>
      </c>
      <c r="N35" t="n">
        <v>2</v>
      </c>
      <c r="O35" t="n">
        <v>0</v>
      </c>
      <c r="P35" s="7">
        <f>IF(SUM(H35:K35)=0,"",H35/SUM(H35:K35))</f>
        <v/>
      </c>
      <c r="Q35" s="7">
        <f>IF(SUM(H35:K35)=0,"",I35/SUM(H35:K35))</f>
        <v/>
      </c>
      <c r="R35" s="7">
        <f>IF(SUM(H35:K35)=0,"",J35/SUM(H35:K35))</f>
        <v/>
      </c>
      <c r="S35" s="7">
        <f>IF(SUM(H35:K35)=0,"",K35/SUM(H35:K35))</f>
        <v/>
      </c>
      <c r="T35" s="7">
        <f>IF(SUM(L35:O35)=0,"",L35/SUM(L35:O35))</f>
        <v/>
      </c>
      <c r="U35" s="7">
        <f>IF(SUM(L35:O35)=0,"",M35/SUM(L35:O35))</f>
        <v/>
      </c>
      <c r="V35" s="7">
        <f>IF(SUM(L35:O35)=0,"",N35/SUM(L35:O35))</f>
        <v/>
      </c>
      <c r="W35" s="7">
        <f>IF(SUM(L35:O35)=0,"",O35/SUM(L35:O35))</f>
        <v/>
      </c>
    </row>
    <row r="36">
      <c r="A36" t="n">
        <v>39</v>
      </c>
      <c r="B36" t="inlineStr">
        <is>
          <t>In service,</t>
        </is>
      </c>
      <c r="C36" t="n">
        <v>0</v>
      </c>
      <c r="D36" t="n">
        <v>0</v>
      </c>
      <c r="E36" t="n">
        <v>0</v>
      </c>
      <c r="F36" t="n">
        <v>0</v>
      </c>
      <c r="G36" t="b">
        <v>0</v>
      </c>
      <c r="H36" t="n">
        <v>0</v>
      </c>
      <c r="I36" t="n">
        <v>0</v>
      </c>
      <c r="J36" t="n">
        <v>0</v>
      </c>
      <c r="K36" t="n">
        <v>0</v>
      </c>
      <c r="L36" t="n">
        <v>0</v>
      </c>
      <c r="M36" t="n">
        <v>0</v>
      </c>
      <c r="N36" t="n">
        <v>0</v>
      </c>
      <c r="O36" t="n">
        <v>0</v>
      </c>
      <c r="P36" s="7">
        <f>IF(SUM(H36:K36)=0,"",H36/SUM(H36:K36))</f>
        <v/>
      </c>
      <c r="Q36" s="7">
        <f>IF(SUM(H36:K36)=0,"",I36/SUM(H36:K36))</f>
        <v/>
      </c>
      <c r="R36" s="7">
        <f>IF(SUM(H36:K36)=0,"",J36/SUM(H36:K36))</f>
        <v/>
      </c>
      <c r="S36" s="7">
        <f>IF(SUM(H36:K36)=0,"",K36/SUM(H36:K36))</f>
        <v/>
      </c>
      <c r="T36" s="7">
        <f>IF(SUM(L36:O36)=0,"",L36/SUM(L36:O36))</f>
        <v/>
      </c>
      <c r="U36" s="7">
        <f>IF(SUM(L36:O36)=0,"",M36/SUM(L36:O36))</f>
        <v/>
      </c>
      <c r="V36" s="7">
        <f>IF(SUM(L36:O36)=0,"",N36/SUM(L36:O36))</f>
        <v/>
      </c>
      <c r="W36" s="7">
        <f>IF(SUM(L36:O36)=0,"",O36/SUM(L36:O36))</f>
        <v/>
      </c>
    </row>
    <row r="37">
      <c r="A37" t="n">
        <v>41</v>
      </c>
      <c r="B37" t="inlineStr">
        <is>
          <t>President &amp;amp; CEO</t>
        </is>
      </c>
      <c r="C37" t="n">
        <v>0</v>
      </c>
      <c r="D37" t="n">
        <v>0</v>
      </c>
      <c r="E37" t="n">
        <v>0</v>
      </c>
      <c r="F37" t="n">
        <v>0</v>
      </c>
      <c r="G37" t="b">
        <v>0</v>
      </c>
      <c r="H37" t="n">
        <v>0</v>
      </c>
      <c r="I37" t="n">
        <v>0</v>
      </c>
      <c r="J37" t="n">
        <v>0</v>
      </c>
      <c r="K37" t="n">
        <v>0</v>
      </c>
      <c r="L37" t="n">
        <v>0</v>
      </c>
      <c r="M37" t="n">
        <v>0</v>
      </c>
      <c r="N37" t="n">
        <v>0</v>
      </c>
      <c r="O37" t="n">
        <v>0</v>
      </c>
      <c r="P37" s="7">
        <f>IF(SUM(H37:K37)=0,"",H37/SUM(H37:K37))</f>
        <v/>
      </c>
      <c r="Q37" s="7">
        <f>IF(SUM(H37:K37)=0,"",I37/SUM(H37:K37))</f>
        <v/>
      </c>
      <c r="R37" s="7">
        <f>IF(SUM(H37:K37)=0,"",J37/SUM(H37:K37))</f>
        <v/>
      </c>
      <c r="S37" s="7">
        <f>IF(SUM(H37:K37)=0,"",K37/SUM(H37:K37))</f>
        <v/>
      </c>
      <c r="T37" s="7">
        <f>IF(SUM(L37:O37)=0,"",L37/SUM(L37:O37))</f>
        <v/>
      </c>
      <c r="U37" s="7">
        <f>IF(SUM(L37:O37)=0,"",M37/SUM(L37:O37))</f>
        <v/>
      </c>
      <c r="V37" s="7">
        <f>IF(SUM(L37:O37)=0,"",N37/SUM(L37:O37))</f>
        <v/>
      </c>
      <c r="W37" s="7">
        <f>IF(SUM(L37:O37)=0,"",O37/SUM(L37:O37))</f>
        <v/>
      </c>
    </row>
    <row r="38">
      <c r="A38" t="n">
        <v>43</v>
      </c>
      <c r="B38" t="inlineStr">
        <is>
          <t>Board Chair</t>
        </is>
      </c>
      <c r="C38" t="n">
        <v>0</v>
      </c>
      <c r="D38" t="n">
        <v>1</v>
      </c>
      <c r="E38" t="n">
        <v>0</v>
      </c>
      <c r="F38" t="n">
        <v>0</v>
      </c>
      <c r="G38" t="b">
        <v>0</v>
      </c>
      <c r="H38" t="n">
        <v>0</v>
      </c>
      <c r="I38" t="n">
        <v>0</v>
      </c>
      <c r="J38" t="n">
        <v>0</v>
      </c>
      <c r="K38" t="n">
        <v>0</v>
      </c>
      <c r="L38" t="n">
        <v>2</v>
      </c>
      <c r="M38" t="n">
        <v>0</v>
      </c>
      <c r="N38" t="n">
        <v>1</v>
      </c>
      <c r="O38" t="n">
        <v>0</v>
      </c>
      <c r="P38" s="7">
        <f>IF(SUM(H38:K38)=0,"",H38/SUM(H38:K38))</f>
        <v/>
      </c>
      <c r="Q38" s="7">
        <f>IF(SUM(H38:K38)=0,"",I38/SUM(H38:K38))</f>
        <v/>
      </c>
      <c r="R38" s="7">
        <f>IF(SUM(H38:K38)=0,"",J38/SUM(H38:K38))</f>
        <v/>
      </c>
      <c r="S38" s="7">
        <f>IF(SUM(H38:K38)=0,"",K38/SUM(H38:K38))</f>
        <v/>
      </c>
      <c r="T38" s="7">
        <f>IF(SUM(L38:O38)=0,"",L38/SUM(L38:O38))</f>
        <v/>
      </c>
      <c r="U38" s="7">
        <f>IF(SUM(L38:O38)=0,"",M38/SUM(L38:O38))</f>
        <v/>
      </c>
      <c r="V38" s="7">
        <f>IF(SUM(L38:O38)=0,"",N38/SUM(L38:O38))</f>
        <v/>
      </c>
      <c r="W38" s="7">
        <f>IF(SUM(L38:O38)=0,"",O38/SUM(L38:O38))</f>
        <v/>
      </c>
    </row>
    <row r="39">
      <c r="A39" t="n">
        <v>45</v>
      </c>
      <c r="B39" t="inlineStr">
        <is>
          <t>Transformation [community_foundation_tag] believes that by working together, great things can happen. The following examples of transformation show projects in which [community_foundation_tag] played an integral role - sometimes as lead, sometimes as a convenor, and sometimes as a contributor. Your contributions to [community_foundation_tag] result in long-term community transformation.</t>
        </is>
      </c>
      <c r="C39" t="n">
        <v>1</v>
      </c>
      <c r="D39" t="n">
        <v>3</v>
      </c>
      <c r="E39" t="n">
        <v>0</v>
      </c>
      <c r="F39" t="n">
        <v>0</v>
      </c>
      <c r="G39" t="b">
        <v>1</v>
      </c>
      <c r="H39" t="n">
        <v>0</v>
      </c>
      <c r="I39" t="n">
        <v>0</v>
      </c>
      <c r="J39" t="n">
        <v>2</v>
      </c>
      <c r="K39" t="n">
        <v>0</v>
      </c>
      <c r="L39" t="n">
        <v>4</v>
      </c>
      <c r="M39" t="n">
        <v>0</v>
      </c>
      <c r="N39" t="n">
        <v>5</v>
      </c>
      <c r="O39" t="n">
        <v>0</v>
      </c>
      <c r="P39" s="7">
        <f>IF(SUM(H39:K39)=0,"",H39/SUM(H39:K39))</f>
        <v/>
      </c>
      <c r="Q39" s="7">
        <f>IF(SUM(H39:K39)=0,"",I39/SUM(H39:K39))</f>
        <v/>
      </c>
      <c r="R39" s="7">
        <f>IF(SUM(H39:K39)=0,"",J39/SUM(H39:K39))</f>
        <v/>
      </c>
      <c r="S39" s="7">
        <f>IF(SUM(H39:K39)=0,"",K39/SUM(H39:K39))</f>
        <v/>
      </c>
      <c r="T39" s="7">
        <f>IF(SUM(L39:O39)=0,"",L39/SUM(L39:O39))</f>
        <v/>
      </c>
      <c r="U39" s="7">
        <f>IF(SUM(L39:O39)=0,"",M39/SUM(L39:O39))</f>
        <v/>
      </c>
      <c r="V39" s="7">
        <f>IF(SUM(L39:O39)=0,"",N39/SUM(L39:O39))</f>
        <v/>
      </c>
      <c r="W39" s="7">
        <f>IF(SUM(L39:O39)=0,"",O39/SUM(L39:O39))</f>
        <v/>
      </c>
    </row>
    <row r="40">
      <c r="A40" t="n">
        <v>46</v>
      </c>
      <c r="B40" t="inlineStr">
        <is>
          <t>The Tridge</t>
        </is>
      </c>
      <c r="C40" t="n">
        <v>1</v>
      </c>
      <c r="D40" t="n">
        <v>1</v>
      </c>
      <c r="E40" t="n">
        <v>1</v>
      </c>
      <c r="F40" t="n">
        <v>0</v>
      </c>
      <c r="G40" t="b">
        <v>1</v>
      </c>
      <c r="H40" t="n">
        <v>0</v>
      </c>
      <c r="I40" t="n">
        <v>0</v>
      </c>
      <c r="J40" t="n">
        <v>0</v>
      </c>
      <c r="K40" t="n">
        <v>0</v>
      </c>
      <c r="L40" t="n">
        <v>2</v>
      </c>
      <c r="M40" t="n">
        <v>0</v>
      </c>
      <c r="N40" t="n">
        <v>1</v>
      </c>
      <c r="O40" t="n">
        <v>0</v>
      </c>
      <c r="P40" s="7">
        <f>IF(SUM(H40:K40)=0,"",H40/SUM(H40:K40))</f>
        <v/>
      </c>
      <c r="Q40" s="7">
        <f>IF(SUM(H40:K40)=0,"",I40/SUM(H40:K40))</f>
        <v/>
      </c>
      <c r="R40" s="7">
        <f>IF(SUM(H40:K40)=0,"",J40/SUM(H40:K40))</f>
        <v/>
      </c>
      <c r="S40" s="7">
        <f>IF(SUM(H40:K40)=0,"",K40/SUM(H40:K40))</f>
        <v/>
      </c>
      <c r="T40" s="7">
        <f>IF(SUM(L40:O40)=0,"",L40/SUM(L40:O40))</f>
        <v/>
      </c>
      <c r="U40" s="7">
        <f>IF(SUM(L40:O40)=0,"",M40/SUM(L40:O40))</f>
        <v/>
      </c>
      <c r="V40" s="7">
        <f>IF(SUM(L40:O40)=0,"",N40/SUM(L40:O40))</f>
        <v/>
      </c>
      <c r="W40" s="7">
        <f>IF(SUM(L40:O40)=0,"",O40/SUM(L40:O40))</f>
        <v/>
      </c>
    </row>
    <row r="41">
      <c r="A41" t="n">
        <v>47</v>
      </c>
      <c r="B41" t="inlineStr">
        <is>
          <t>The Midland Area Santa House</t>
        </is>
      </c>
      <c r="C41" t="n">
        <v>0</v>
      </c>
      <c r="D41" t="n">
        <v>1</v>
      </c>
      <c r="E41" t="n">
        <v>0</v>
      </c>
      <c r="F41" t="n">
        <v>0</v>
      </c>
      <c r="G41" t="b">
        <v>0</v>
      </c>
      <c r="H41" t="n">
        <v>0</v>
      </c>
      <c r="I41" t="n">
        <v>0</v>
      </c>
      <c r="J41" t="n">
        <v>0</v>
      </c>
      <c r="K41" t="n">
        <v>0</v>
      </c>
      <c r="L41" t="n">
        <v>2</v>
      </c>
      <c r="M41" t="n">
        <v>0</v>
      </c>
      <c r="N41" t="n">
        <v>1</v>
      </c>
      <c r="O41" t="n">
        <v>0</v>
      </c>
      <c r="P41" s="7">
        <f>IF(SUM(H41:K41)=0,"",H41/SUM(H41:K41))</f>
        <v/>
      </c>
      <c r="Q41" s="7">
        <f>IF(SUM(H41:K41)=0,"",I41/SUM(H41:K41))</f>
        <v/>
      </c>
      <c r="R41" s="7">
        <f>IF(SUM(H41:K41)=0,"",J41/SUM(H41:K41))</f>
        <v/>
      </c>
      <c r="S41" s="7">
        <f>IF(SUM(H41:K41)=0,"",K41/SUM(H41:K41))</f>
        <v/>
      </c>
      <c r="T41" s="7">
        <f>IF(SUM(L41:O41)=0,"",L41/SUM(L41:O41))</f>
        <v/>
      </c>
      <c r="U41" s="7">
        <f>IF(SUM(L41:O41)=0,"",M41/SUM(L41:O41))</f>
        <v/>
      </c>
      <c r="V41" s="7">
        <f>IF(SUM(L41:O41)=0,"",N41/SUM(L41:O41))</f>
        <v/>
      </c>
      <c r="W41" s="7">
        <f>IF(SUM(L41:O41)=0,"",O41/SUM(L41:O41))</f>
        <v/>
      </c>
    </row>
    <row r="42">
      <c r="A42" t="n">
        <v>48</v>
      </c>
      <c r="B42" t="inlineStr">
        <is>
          <t>The M20 Bridge Mural</t>
        </is>
      </c>
      <c r="C42" t="n">
        <v>1</v>
      </c>
      <c r="D42" t="n">
        <v>1</v>
      </c>
      <c r="E42" t="n">
        <v>0</v>
      </c>
      <c r="F42" t="n">
        <v>0</v>
      </c>
      <c r="G42" t="b">
        <v>1</v>
      </c>
      <c r="H42" t="n">
        <v>0</v>
      </c>
      <c r="I42" t="n">
        <v>0</v>
      </c>
      <c r="J42" t="n">
        <v>2</v>
      </c>
      <c r="K42" t="n">
        <v>0</v>
      </c>
      <c r="L42" t="n">
        <v>2</v>
      </c>
      <c r="M42" t="n">
        <v>0</v>
      </c>
      <c r="N42" t="n">
        <v>1</v>
      </c>
      <c r="O42" t="n">
        <v>0</v>
      </c>
      <c r="P42" s="7">
        <f>IF(SUM(H42:K42)=0,"",H42/SUM(H42:K42))</f>
        <v/>
      </c>
      <c r="Q42" s="7">
        <f>IF(SUM(H42:K42)=0,"",I42/SUM(H42:K42))</f>
        <v/>
      </c>
      <c r="R42" s="7">
        <f>IF(SUM(H42:K42)=0,"",J42/SUM(H42:K42))</f>
        <v/>
      </c>
      <c r="S42" s="7">
        <f>IF(SUM(H42:K42)=0,"",K42/SUM(H42:K42))</f>
        <v/>
      </c>
      <c r="T42" s="7">
        <f>IF(SUM(L42:O42)=0,"",L42/SUM(L42:O42))</f>
        <v/>
      </c>
      <c r="U42" s="7">
        <f>IF(SUM(L42:O42)=0,"",M42/SUM(L42:O42))</f>
        <v/>
      </c>
      <c r="V42" s="7">
        <f>IF(SUM(L42:O42)=0,"",N42/SUM(L42:O42))</f>
        <v/>
      </c>
      <c r="W42" s="7">
        <f>IF(SUM(L42:O42)=0,"",O42/SUM(L42:O42))</f>
        <v/>
      </c>
    </row>
    <row r="43">
      <c r="A43" t="n">
        <v>49</v>
      </c>
      <c r="B43" t="inlineStr">
        <is>
          <t>The Pere-Marquette Rail Trail</t>
        </is>
      </c>
      <c r="C43" t="n">
        <v>1</v>
      </c>
      <c r="D43" t="n">
        <v>1</v>
      </c>
      <c r="E43" t="n">
        <v>0</v>
      </c>
      <c r="F43" t="n">
        <v>0</v>
      </c>
      <c r="G43" t="b">
        <v>1</v>
      </c>
      <c r="H43" t="n">
        <v>0</v>
      </c>
      <c r="I43" t="n">
        <v>0</v>
      </c>
      <c r="J43" t="n">
        <v>2</v>
      </c>
      <c r="K43" t="n">
        <v>0</v>
      </c>
      <c r="L43" t="n">
        <v>2</v>
      </c>
      <c r="M43" t="n">
        <v>0</v>
      </c>
      <c r="N43" t="n">
        <v>1</v>
      </c>
      <c r="O43" t="n">
        <v>0</v>
      </c>
      <c r="P43" s="7">
        <f>IF(SUM(H43:K43)=0,"",H43/SUM(H43:K43))</f>
        <v/>
      </c>
      <c r="Q43" s="7">
        <f>IF(SUM(H43:K43)=0,"",I43/SUM(H43:K43))</f>
        <v/>
      </c>
      <c r="R43" s="7">
        <f>IF(SUM(H43:K43)=0,"",J43/SUM(H43:K43))</f>
        <v/>
      </c>
      <c r="S43" s="7">
        <f>IF(SUM(H43:K43)=0,"",K43/SUM(H43:K43))</f>
        <v/>
      </c>
      <c r="T43" s="7">
        <f>IF(SUM(L43:O43)=0,"",L43/SUM(L43:O43))</f>
        <v/>
      </c>
      <c r="U43" s="7">
        <f>IF(SUM(L43:O43)=0,"",M43/SUM(L43:O43))</f>
        <v/>
      </c>
      <c r="V43" s="7">
        <f>IF(SUM(L43:O43)=0,"",N43/SUM(L43:O43))</f>
        <v/>
      </c>
      <c r="W43" s="7">
        <f>IF(SUM(L43:O43)=0,"",O43/SUM(L43:O43))</f>
        <v/>
      </c>
    </row>
    <row r="44">
      <c r="A44" t="n">
        <v>50</v>
      </c>
      <c r="B44" t="inlineStr">
        <is>
          <t>The Downtown Midland Streetscape Amenities Project</t>
        </is>
      </c>
      <c r="C44" t="n">
        <v>1</v>
      </c>
      <c r="D44" t="n">
        <v>1</v>
      </c>
      <c r="E44" t="n">
        <v>0</v>
      </c>
      <c r="F44" t="n">
        <v>0</v>
      </c>
      <c r="G44" t="b">
        <v>1</v>
      </c>
      <c r="H44" t="n">
        <v>0</v>
      </c>
      <c r="I44" t="n">
        <v>0</v>
      </c>
      <c r="J44" t="n">
        <v>2</v>
      </c>
      <c r="K44" t="n">
        <v>0</v>
      </c>
      <c r="L44" t="n">
        <v>2</v>
      </c>
      <c r="M44" t="n">
        <v>0</v>
      </c>
      <c r="N44" t="n">
        <v>1</v>
      </c>
      <c r="O44" t="n">
        <v>0</v>
      </c>
      <c r="P44" s="7">
        <f>IF(SUM(H44:K44)=0,"",H44/SUM(H44:K44))</f>
        <v/>
      </c>
      <c r="Q44" s="7">
        <f>IF(SUM(H44:K44)=0,"",I44/SUM(H44:K44))</f>
        <v/>
      </c>
      <c r="R44" s="7">
        <f>IF(SUM(H44:K44)=0,"",J44/SUM(H44:K44))</f>
        <v/>
      </c>
      <c r="S44" s="7">
        <f>IF(SUM(H44:K44)=0,"",K44/SUM(H44:K44))</f>
        <v/>
      </c>
      <c r="T44" s="7">
        <f>IF(SUM(L44:O44)=0,"",L44/SUM(L44:O44))</f>
        <v/>
      </c>
      <c r="U44" s="7">
        <f>IF(SUM(L44:O44)=0,"",M44/SUM(L44:O44))</f>
        <v/>
      </c>
      <c r="V44" s="7">
        <f>IF(SUM(L44:O44)=0,"",N44/SUM(L44:O44))</f>
        <v/>
      </c>
      <c r="W44" s="7">
        <f>IF(SUM(L44:O44)=0,"",O44/SUM(L44:O44))</f>
        <v/>
      </c>
    </row>
    <row r="45">
      <c r="A45" t="n">
        <v>51</v>
      </c>
      <c r="B45" t="inlineStr">
        <is>
          <t>[community_foundation_tag], formerly known as Community Drug Store - Circle Branch</t>
        </is>
      </c>
      <c r="C45" t="n">
        <v>1</v>
      </c>
      <c r="D45" t="n">
        <v>1</v>
      </c>
      <c r="E45" t="n">
        <v>0</v>
      </c>
      <c r="F45" t="n">
        <v>0</v>
      </c>
      <c r="G45" t="b">
        <v>1</v>
      </c>
      <c r="H45" t="n">
        <v>2</v>
      </c>
      <c r="I45" t="n">
        <v>0</v>
      </c>
      <c r="J45" t="n">
        <v>1</v>
      </c>
      <c r="K45" t="n">
        <v>0</v>
      </c>
      <c r="L45" t="n">
        <v>2</v>
      </c>
      <c r="M45" t="n">
        <v>0</v>
      </c>
      <c r="N45" t="n">
        <v>1</v>
      </c>
      <c r="O45" t="n">
        <v>0</v>
      </c>
      <c r="P45" s="7">
        <f>IF(SUM(H45:K45)=0,"",H45/SUM(H45:K45))</f>
        <v/>
      </c>
      <c r="Q45" s="7">
        <f>IF(SUM(H45:K45)=0,"",I45/SUM(H45:K45))</f>
        <v/>
      </c>
      <c r="R45" s="7">
        <f>IF(SUM(H45:K45)=0,"",J45/SUM(H45:K45))</f>
        <v/>
      </c>
      <c r="S45" s="7">
        <f>IF(SUM(H45:K45)=0,"",K45/SUM(H45:K45))</f>
        <v/>
      </c>
      <c r="T45" s="7">
        <f>IF(SUM(L45:O45)=0,"",L45/SUM(L45:O45))</f>
        <v/>
      </c>
      <c r="U45" s="7">
        <f>IF(SUM(L45:O45)=0,"",M45/SUM(L45:O45))</f>
        <v/>
      </c>
      <c r="V45" s="7">
        <f>IF(SUM(L45:O45)=0,"",N45/SUM(L45:O45))</f>
        <v/>
      </c>
      <c r="W45" s="7">
        <f>IF(SUM(L45:O45)=0,"",O45/SUM(L45:O45))</f>
        <v/>
      </c>
    </row>
    <row r="46">
      <c r="A46" t="n">
        <v>52</v>
      </c>
      <c r="B46" t="inlineStr">
        <is>
          <t>March: [individual_tag] were awarded the 2022 Citizenship Award as part of the annual State of the City Celebration. The Citizenship Award  is an award to recognize individuals who are unselfishly committed to making [community_foundation_tag] community a better place by encouraging and helping others to employ civility, respect, and inclusiveness to make a difference.</t>
        </is>
      </c>
      <c r="C46" t="n">
        <v>0</v>
      </c>
      <c r="D46" t="n">
        <v>1</v>
      </c>
      <c r="E46" t="n">
        <v>0</v>
      </c>
      <c r="F46" t="n">
        <v>0</v>
      </c>
      <c r="G46" t="b">
        <v>0</v>
      </c>
      <c r="H46" t="n">
        <v>0</v>
      </c>
      <c r="I46" t="n">
        <v>0</v>
      </c>
      <c r="J46" t="n">
        <v>0</v>
      </c>
      <c r="K46" t="n">
        <v>0</v>
      </c>
      <c r="L46" t="n">
        <v>1</v>
      </c>
      <c r="M46" t="n">
        <v>0</v>
      </c>
      <c r="N46" t="n">
        <v>0</v>
      </c>
      <c r="O46" t="n">
        <v>2</v>
      </c>
      <c r="P46" s="7">
        <f>IF(SUM(H46:K46)=0,"",H46/SUM(H46:K46))</f>
        <v/>
      </c>
      <c r="Q46" s="7">
        <f>IF(SUM(H46:K46)=0,"",I46/SUM(H46:K46))</f>
        <v/>
      </c>
      <c r="R46" s="7">
        <f>IF(SUM(H46:K46)=0,"",J46/SUM(H46:K46))</f>
        <v/>
      </c>
      <c r="S46" s="7">
        <f>IF(SUM(H46:K46)=0,"",K46/SUM(H46:K46))</f>
        <v/>
      </c>
      <c r="T46" s="7">
        <f>IF(SUM(L46:O46)=0,"",L46/SUM(L46:O46))</f>
        <v/>
      </c>
      <c r="U46" s="7">
        <f>IF(SUM(L46:O46)=0,"",M46/SUM(L46:O46))</f>
        <v/>
      </c>
      <c r="V46" s="7">
        <f>IF(SUM(L46:O46)=0,"",N46/SUM(L46:O46))</f>
        <v/>
      </c>
      <c r="W46" s="7">
        <f>IF(SUM(L46:O46)=0,"",O46/SUM(L46:O46))</f>
        <v/>
      </c>
    </row>
    <row r="47">
      <c r="A47" t="n">
        <v>53</v>
      </c>
      <c r="B47" t="inlineStr">
        <is>
          <t>June: The Big Give awarded a grant for over $14,000 to the Bridge Food Center.</t>
        </is>
      </c>
      <c r="C47" t="n">
        <v>0</v>
      </c>
      <c r="D47" t="n">
        <v>1</v>
      </c>
      <c r="E47" t="n">
        <v>0</v>
      </c>
      <c r="F47" t="n">
        <v>0</v>
      </c>
      <c r="G47" t="b">
        <v>0</v>
      </c>
      <c r="H47" t="n">
        <v>0</v>
      </c>
      <c r="I47" t="n">
        <v>0</v>
      </c>
      <c r="J47" t="n">
        <v>0</v>
      </c>
      <c r="K47" t="n">
        <v>0</v>
      </c>
      <c r="L47" t="n">
        <v>0</v>
      </c>
      <c r="M47" t="n">
        <v>2</v>
      </c>
      <c r="N47" t="n">
        <v>0</v>
      </c>
      <c r="O47" t="n">
        <v>1</v>
      </c>
      <c r="P47" s="7">
        <f>IF(SUM(H47:K47)=0,"",H47/SUM(H47:K47))</f>
        <v/>
      </c>
      <c r="Q47" s="7">
        <f>IF(SUM(H47:K47)=0,"",I47/SUM(H47:K47))</f>
        <v/>
      </c>
      <c r="R47" s="7">
        <f>IF(SUM(H47:K47)=0,"",J47/SUM(H47:K47))</f>
        <v/>
      </c>
      <c r="S47" s="7">
        <f>IF(SUM(H47:K47)=0,"",K47/SUM(H47:K47))</f>
        <v/>
      </c>
      <c r="T47" s="7">
        <f>IF(SUM(L47:O47)=0,"",L47/SUM(L47:O47))</f>
        <v/>
      </c>
      <c r="U47" s="7">
        <f>IF(SUM(L47:O47)=0,"",M47/SUM(L47:O47))</f>
        <v/>
      </c>
      <c r="V47" s="7">
        <f>IF(SUM(L47:O47)=0,"",N47/SUM(L47:O47))</f>
        <v/>
      </c>
      <c r="W47" s="7">
        <f>IF(SUM(L47:O47)=0,"",O47/SUM(L47:O47))</f>
        <v/>
      </c>
    </row>
    <row r="48">
      <c r="A48" t="n">
        <v>54</v>
      </c>
      <c r="B48" t="inlineStr">
        <is>
          <t>The Big Give  is  a  group  of  men  from  the  greater  Midland  area  who  are  dedicated  to  helping local nonprofit agencies.</t>
        </is>
      </c>
      <c r="C48" t="n">
        <v>0</v>
      </c>
      <c r="D48" t="n">
        <v>3</v>
      </c>
      <c r="E48" t="n">
        <v>0</v>
      </c>
      <c r="F48" t="n">
        <v>0</v>
      </c>
      <c r="G48" t="b">
        <v>0</v>
      </c>
      <c r="H48" t="n">
        <v>0</v>
      </c>
      <c r="I48" t="n">
        <v>0</v>
      </c>
      <c r="J48" t="n">
        <v>0</v>
      </c>
      <c r="K48" t="n">
        <v>0</v>
      </c>
      <c r="L48" t="n">
        <v>6</v>
      </c>
      <c r="M48" t="n">
        <v>3</v>
      </c>
      <c r="N48" t="n">
        <v>0</v>
      </c>
      <c r="O48" t="n">
        <v>0</v>
      </c>
      <c r="P48" s="7">
        <f>IF(SUM(H48:K48)=0,"",H48/SUM(H48:K48))</f>
        <v/>
      </c>
      <c r="Q48" s="7">
        <f>IF(SUM(H48:K48)=0,"",I48/SUM(H48:K48))</f>
        <v/>
      </c>
      <c r="R48" s="7">
        <f>IF(SUM(H48:K48)=0,"",J48/SUM(H48:K48))</f>
        <v/>
      </c>
      <c r="S48" s="7">
        <f>IF(SUM(H48:K48)=0,"",K48/SUM(H48:K48))</f>
        <v/>
      </c>
      <c r="T48" s="7">
        <f>IF(SUM(L48:O48)=0,"",L48/SUM(L48:O48))</f>
        <v/>
      </c>
      <c r="U48" s="7">
        <f>IF(SUM(L48:O48)=0,"",M48/SUM(L48:O48))</f>
        <v/>
      </c>
      <c r="V48" s="7">
        <f>IF(SUM(L48:O48)=0,"",N48/SUM(L48:O48))</f>
        <v/>
      </c>
      <c r="W48" s="7">
        <f>IF(SUM(L48:O48)=0,"",O48/SUM(L48:O48))</f>
        <v/>
      </c>
    </row>
    <row r="49">
      <c r="A49" t="n">
        <v>55</v>
      </c>
      <c r="B49" t="inlineStr">
        <is>
          <t>The idea is simple:</t>
        </is>
      </c>
      <c r="C49" t="n">
        <v>0</v>
      </c>
      <c r="D49" t="n">
        <v>0</v>
      </c>
      <c r="E49" t="n">
        <v>0</v>
      </c>
      <c r="F49" t="n">
        <v>0</v>
      </c>
      <c r="G49" t="b">
        <v>0</v>
      </c>
      <c r="H49" t="n">
        <v>0</v>
      </c>
      <c r="I49" t="n">
        <v>0</v>
      </c>
      <c r="J49" t="n">
        <v>0</v>
      </c>
      <c r="K49" t="n">
        <v>0</v>
      </c>
      <c r="L49" t="n">
        <v>0</v>
      </c>
      <c r="M49" t="n">
        <v>0</v>
      </c>
      <c r="N49" t="n">
        <v>0</v>
      </c>
      <c r="O49" t="n">
        <v>0</v>
      </c>
      <c r="P49" s="7">
        <f>IF(SUM(H49:K49)=0,"",H49/SUM(H49:K49))</f>
        <v/>
      </c>
      <c r="Q49" s="7">
        <f>IF(SUM(H49:K49)=0,"",I49/SUM(H49:K49))</f>
        <v/>
      </c>
      <c r="R49" s="7">
        <f>IF(SUM(H49:K49)=0,"",J49/SUM(H49:K49))</f>
        <v/>
      </c>
      <c r="S49" s="7">
        <f>IF(SUM(H49:K49)=0,"",K49/SUM(H49:K49))</f>
        <v/>
      </c>
      <c r="T49" s="7">
        <f>IF(SUM(L49:O49)=0,"",L49/SUM(L49:O49))</f>
        <v/>
      </c>
      <c r="U49" s="7">
        <f>IF(SUM(L49:O49)=0,"",M49/SUM(L49:O49))</f>
        <v/>
      </c>
      <c r="V49" s="7">
        <f>IF(SUM(L49:O49)=0,"",N49/SUM(L49:O49))</f>
        <v/>
      </c>
      <c r="W49" s="7">
        <f>IF(SUM(L49:O49)=0,"",O49/SUM(L49:O49))</f>
        <v/>
      </c>
    </row>
    <row r="50">
      <c r="A50" t="n">
        <v>56</v>
      </c>
      <c r="B50" t="inlineStr">
        <is>
          <t>Meet three times per year, donate $100 per member at each meeting, and vote on a local nonprofit to receive the funds.</t>
        </is>
      </c>
      <c r="C50" t="n">
        <v>0</v>
      </c>
      <c r="D50" t="n">
        <v>3</v>
      </c>
      <c r="E50" t="n">
        <v>0</v>
      </c>
      <c r="F50" t="n">
        <v>0</v>
      </c>
      <c r="G50" t="b">
        <v>0</v>
      </c>
      <c r="H50" t="n">
        <v>0</v>
      </c>
      <c r="I50" t="n">
        <v>0</v>
      </c>
      <c r="J50" t="n">
        <v>0</v>
      </c>
      <c r="K50" t="n">
        <v>0</v>
      </c>
      <c r="L50" t="n">
        <v>3</v>
      </c>
      <c r="M50" t="n">
        <v>6</v>
      </c>
      <c r="N50" t="n">
        <v>0</v>
      </c>
      <c r="O50" t="n">
        <v>0</v>
      </c>
      <c r="P50" s="7">
        <f>IF(SUM(H50:K50)=0,"",H50/SUM(H50:K50))</f>
        <v/>
      </c>
      <c r="Q50" s="7">
        <f>IF(SUM(H50:K50)=0,"",I50/SUM(H50:K50))</f>
        <v/>
      </c>
      <c r="R50" s="7">
        <f>IF(SUM(H50:K50)=0,"",J50/SUM(H50:K50))</f>
        <v/>
      </c>
      <c r="S50" s="7">
        <f>IF(SUM(H50:K50)=0,"",K50/SUM(H50:K50))</f>
        <v/>
      </c>
      <c r="T50" s="7">
        <f>IF(SUM(L50:O50)=0,"",L50/SUM(L50:O50))</f>
        <v/>
      </c>
      <c r="U50" s="7">
        <f>IF(SUM(L50:O50)=0,"",M50/SUM(L50:O50))</f>
        <v/>
      </c>
      <c r="V50" s="7">
        <f>IF(SUM(L50:O50)=0,"",N50/SUM(L50:O50))</f>
        <v/>
      </c>
      <c r="W50" s="7">
        <f>IF(SUM(L50:O50)=0,"",O50/SUM(L50:O50))</f>
        <v/>
      </c>
    </row>
    <row r="51">
      <c r="A51" t="n">
        <v>57</v>
      </c>
      <c r="B51" t="inlineStr">
        <is>
          <t>August: The Midland Area River Days Festival, an initiative of [community_foundation_tag], brought music and enriching entertainment to Downtown Midland. River Days is an inclusive festival, providing fun and local resources to the Midland community.</t>
        </is>
      </c>
      <c r="C51" t="n">
        <v>1</v>
      </c>
      <c r="D51" t="n">
        <v>2</v>
      </c>
      <c r="E51" t="n">
        <v>0</v>
      </c>
      <c r="F51" t="n">
        <v>0</v>
      </c>
      <c r="G51" t="b">
        <v>1</v>
      </c>
      <c r="H51" t="n">
        <v>0</v>
      </c>
      <c r="I51" t="n">
        <v>0</v>
      </c>
      <c r="J51" t="n">
        <v>2</v>
      </c>
      <c r="K51" t="n">
        <v>0</v>
      </c>
      <c r="L51" t="n">
        <v>4</v>
      </c>
      <c r="M51" t="n">
        <v>0</v>
      </c>
      <c r="N51" t="n">
        <v>0</v>
      </c>
      <c r="O51" t="n">
        <v>2</v>
      </c>
      <c r="P51" s="7">
        <f>IF(SUM(H51:K51)=0,"",H51/SUM(H51:K51))</f>
        <v/>
      </c>
      <c r="Q51" s="7">
        <f>IF(SUM(H51:K51)=0,"",I51/SUM(H51:K51))</f>
        <v/>
      </c>
      <c r="R51" s="7">
        <f>IF(SUM(H51:K51)=0,"",J51/SUM(H51:K51))</f>
        <v/>
      </c>
      <c r="S51" s="7">
        <f>IF(SUM(H51:K51)=0,"",K51/SUM(H51:K51))</f>
        <v/>
      </c>
      <c r="T51" s="7">
        <f>IF(SUM(L51:O51)=0,"",L51/SUM(L51:O51))</f>
        <v/>
      </c>
      <c r="U51" s="7">
        <f>IF(SUM(L51:O51)=0,"",M51/SUM(L51:O51))</f>
        <v/>
      </c>
      <c r="V51" s="7">
        <f>IF(SUM(L51:O51)=0,"",N51/SUM(L51:O51))</f>
        <v/>
      </c>
      <c r="W51" s="7">
        <f>IF(SUM(L51:O51)=0,"",O51/SUM(L51:O51))</f>
        <v/>
      </c>
    </row>
    <row r="52">
      <c r="A52" t="n">
        <v>58</v>
      </c>
      <c r="B52" t="inlineStr">
        <is>
          <t>October: Ripple Effect, [community_foundation_tag]'s celebration of philanthropy, took place at the H Hotel,  where  [individual_tag]  was  named Philanthropist of the Year.</t>
        </is>
      </c>
      <c r="C52" t="n">
        <v>0</v>
      </c>
      <c r="D52" t="n">
        <v>2</v>
      </c>
      <c r="E52" t="n">
        <v>0</v>
      </c>
      <c r="F52" t="n">
        <v>0</v>
      </c>
      <c r="G52" t="b">
        <v>0</v>
      </c>
      <c r="H52" t="n">
        <v>0</v>
      </c>
      <c r="I52" t="n">
        <v>0</v>
      </c>
      <c r="J52" t="n">
        <v>0</v>
      </c>
      <c r="K52" t="n">
        <v>0</v>
      </c>
      <c r="L52" t="n">
        <v>3</v>
      </c>
      <c r="M52" t="n">
        <v>3</v>
      </c>
      <c r="N52" t="n">
        <v>0</v>
      </c>
      <c r="O52" t="n">
        <v>0</v>
      </c>
      <c r="P52" s="7">
        <f>IF(SUM(H52:K52)=0,"",H52/SUM(H52:K52))</f>
        <v/>
      </c>
      <c r="Q52" s="7">
        <f>IF(SUM(H52:K52)=0,"",I52/SUM(H52:K52))</f>
        <v/>
      </c>
      <c r="R52" s="7">
        <f>IF(SUM(H52:K52)=0,"",J52/SUM(H52:K52))</f>
        <v/>
      </c>
      <c r="S52" s="7">
        <f>IF(SUM(H52:K52)=0,"",K52/SUM(H52:K52))</f>
        <v/>
      </c>
      <c r="T52" s="7">
        <f>IF(SUM(L52:O52)=0,"",L52/SUM(L52:O52))</f>
        <v/>
      </c>
      <c r="U52" s="7">
        <f>IF(SUM(L52:O52)=0,"",M52/SUM(L52:O52))</f>
        <v/>
      </c>
      <c r="V52" s="7">
        <f>IF(SUM(L52:O52)=0,"",N52/SUM(L52:O52))</f>
        <v/>
      </c>
      <c r="W52" s="7">
        <f>IF(SUM(L52:O52)=0,"",O52/SUM(L52:O52))</f>
        <v/>
      </c>
    </row>
    <row r="53">
      <c r="A53" t="n">
        <v>59</v>
      </c>
      <c r="B53" t="inlineStr">
        <is>
          <t>December: [community_foundation_tag] partnered with Senior Services for the Senior Christmas Dinner program. The Senior Christmas Dinner program serves over 1,000 free meals to local seniors. Senior Christmas Dinners has been an annual program for the last 45+ years.</t>
        </is>
      </c>
      <c r="C53" t="n">
        <v>1</v>
      </c>
      <c r="D53" t="n">
        <v>2</v>
      </c>
      <c r="E53" t="n">
        <v>0</v>
      </c>
      <c r="F53" t="n">
        <v>0</v>
      </c>
      <c r="G53" t="b">
        <v>1</v>
      </c>
      <c r="H53" t="n">
        <v>2</v>
      </c>
      <c r="I53" t="n">
        <v>0</v>
      </c>
      <c r="J53" t="n">
        <v>0</v>
      </c>
      <c r="K53" t="n">
        <v>0</v>
      </c>
      <c r="L53" t="n">
        <v>4</v>
      </c>
      <c r="M53" t="n">
        <v>0</v>
      </c>
      <c r="N53" t="n">
        <v>1</v>
      </c>
      <c r="O53" t="n">
        <v>1</v>
      </c>
      <c r="P53" s="7">
        <f>IF(SUM(H53:K53)=0,"",H53/SUM(H53:K53))</f>
        <v/>
      </c>
      <c r="Q53" s="7">
        <f>IF(SUM(H53:K53)=0,"",I53/SUM(H53:K53))</f>
        <v/>
      </c>
      <c r="R53" s="7">
        <f>IF(SUM(H53:K53)=0,"",J53/SUM(H53:K53))</f>
        <v/>
      </c>
      <c r="S53" s="7">
        <f>IF(SUM(H53:K53)=0,"",K53/SUM(H53:K53))</f>
        <v/>
      </c>
      <c r="T53" s="7">
        <f>IF(SUM(L53:O53)=0,"",L53/SUM(L53:O53))</f>
        <v/>
      </c>
      <c r="U53" s="7">
        <f>IF(SUM(L53:O53)=0,"",M53/SUM(L53:O53))</f>
        <v/>
      </c>
      <c r="V53" s="7">
        <f>IF(SUM(L53:O53)=0,"",N53/SUM(L53:O53))</f>
        <v/>
      </c>
      <c r="W53" s="7">
        <f>IF(SUM(L53:O53)=0,"",O53/SUM(L53:O53))</f>
        <v/>
      </c>
    </row>
    <row r="54">
      <c r="A54" t="n">
        <v>60</v>
      </c>
      <c r="B54" t="inlineStr">
        <is>
          <t>December: Santa returned to the Midland Area Santa House in Downtown Midland.</t>
        </is>
      </c>
      <c r="C54" t="n">
        <v>0</v>
      </c>
      <c r="D54" t="n">
        <v>0</v>
      </c>
      <c r="E54" t="n">
        <v>0</v>
      </c>
      <c r="F54" t="n">
        <v>0</v>
      </c>
      <c r="G54" t="b">
        <v>0</v>
      </c>
      <c r="H54" t="n">
        <v>0</v>
      </c>
      <c r="I54" t="n">
        <v>0</v>
      </c>
      <c r="J54" t="n">
        <v>0</v>
      </c>
      <c r="K54" t="n">
        <v>0</v>
      </c>
      <c r="L54" t="n">
        <v>0</v>
      </c>
      <c r="M54" t="n">
        <v>0</v>
      </c>
      <c r="N54" t="n">
        <v>0</v>
      </c>
      <c r="O54" t="n">
        <v>0</v>
      </c>
      <c r="P54" s="7">
        <f>IF(SUM(H54:K54)=0,"",H54/SUM(H54:K54))</f>
        <v/>
      </c>
      <c r="Q54" s="7">
        <f>IF(SUM(H54:K54)=0,"",I54/SUM(H54:K54))</f>
        <v/>
      </c>
      <c r="R54" s="7">
        <f>IF(SUM(H54:K54)=0,"",J54/SUM(H54:K54))</f>
        <v/>
      </c>
      <c r="S54" s="7">
        <f>IF(SUM(H54:K54)=0,"",K54/SUM(H54:K54))</f>
        <v/>
      </c>
      <c r="T54" s="7">
        <f>IF(SUM(L54:O54)=0,"",L54/SUM(L54:O54))</f>
        <v/>
      </c>
      <c r="U54" s="7">
        <f>IF(SUM(L54:O54)=0,"",M54/SUM(L54:O54))</f>
        <v/>
      </c>
      <c r="V54" s="7">
        <f>IF(SUM(L54:O54)=0,"",N54/SUM(L54:O54))</f>
        <v/>
      </c>
      <c r="W54" s="7">
        <f>IF(SUM(L54:O54)=0,"",O54/SUM(L54:O54))</f>
        <v/>
      </c>
    </row>
    <row r="55">
      <c r="A55" t="n">
        <v>61</v>
      </c>
      <c r="B55" t="inlineStr">
        <is>
          <t>Over 10,000 people visited the Santa House in 2022.</t>
        </is>
      </c>
      <c r="C55" t="n">
        <v>0</v>
      </c>
      <c r="D55" t="n">
        <v>0</v>
      </c>
      <c r="E55" t="n">
        <v>0</v>
      </c>
      <c r="F55" t="n">
        <v>0</v>
      </c>
      <c r="G55" t="b">
        <v>0</v>
      </c>
      <c r="H55" t="n">
        <v>0</v>
      </c>
      <c r="I55" t="n">
        <v>0</v>
      </c>
      <c r="J55" t="n">
        <v>0</v>
      </c>
      <c r="K55" t="n">
        <v>0</v>
      </c>
      <c r="L55" t="n">
        <v>0</v>
      </c>
      <c r="M55" t="n">
        <v>0</v>
      </c>
      <c r="N55" t="n">
        <v>0</v>
      </c>
      <c r="O55" t="n">
        <v>0</v>
      </c>
      <c r="P55" s="7">
        <f>IF(SUM(H55:K55)=0,"",H55/SUM(H55:K55))</f>
        <v/>
      </c>
      <c r="Q55" s="7">
        <f>IF(SUM(H55:K55)=0,"",I55/SUM(H55:K55))</f>
        <v/>
      </c>
      <c r="R55" s="7">
        <f>IF(SUM(H55:K55)=0,"",J55/SUM(H55:K55))</f>
        <v/>
      </c>
      <c r="S55" s="7">
        <f>IF(SUM(H55:K55)=0,"",K55/SUM(H55:K55))</f>
        <v/>
      </c>
      <c r="T55" s="7">
        <f>IF(SUM(L55:O55)=0,"",L55/SUM(L55:O55))</f>
        <v/>
      </c>
      <c r="U55" s="7">
        <f>IF(SUM(L55:O55)=0,"",M55/SUM(L55:O55))</f>
        <v/>
      </c>
      <c r="V55" s="7">
        <f>IF(SUM(L55:O55)=0,"",N55/SUM(L55:O55))</f>
        <v/>
      </c>
      <c r="W55" s="7">
        <f>IF(SUM(L55:O55)=0,"",O55/SUM(L55:O55))</f>
        <v/>
      </c>
    </row>
    <row r="56">
      <c r="A56" t="n">
        <v>64</v>
      </c>
      <c r="B56" t="inlineStr">
        <is>
          <t>"I initially joined the Youth Action Council because my dad described the group to me back in middle school as being 'kind of like Shark Tank': Kids pitch their ideas and request money to accomplish them.</t>
        </is>
      </c>
      <c r="C56" t="n">
        <v>0</v>
      </c>
      <c r="D56" t="n">
        <v>2</v>
      </c>
      <c r="E56" t="n">
        <v>0</v>
      </c>
      <c r="F56" t="n">
        <v>0</v>
      </c>
      <c r="G56" t="b">
        <v>0</v>
      </c>
      <c r="H56" t="n">
        <v>0</v>
      </c>
      <c r="I56" t="n">
        <v>0</v>
      </c>
      <c r="J56" t="n">
        <v>0</v>
      </c>
      <c r="K56" t="n">
        <v>0</v>
      </c>
      <c r="L56" t="n">
        <v>0</v>
      </c>
      <c r="M56" t="n">
        <v>2</v>
      </c>
      <c r="N56" t="n">
        <v>2</v>
      </c>
      <c r="O56" t="n">
        <v>2</v>
      </c>
      <c r="P56" s="7">
        <f>IF(SUM(H56:K56)=0,"",H56/SUM(H56:K56))</f>
        <v/>
      </c>
      <c r="Q56" s="7">
        <f>IF(SUM(H56:K56)=0,"",I56/SUM(H56:K56))</f>
        <v/>
      </c>
      <c r="R56" s="7">
        <f>IF(SUM(H56:K56)=0,"",J56/SUM(H56:K56))</f>
        <v/>
      </c>
      <c r="S56" s="7">
        <f>IF(SUM(H56:K56)=0,"",K56/SUM(H56:K56))</f>
        <v/>
      </c>
      <c r="T56" s="7">
        <f>IF(SUM(L56:O56)=0,"",L56/SUM(L56:O56))</f>
        <v/>
      </c>
      <c r="U56" s="7">
        <f>IF(SUM(L56:O56)=0,"",M56/SUM(L56:O56))</f>
        <v/>
      </c>
      <c r="V56" s="7">
        <f>IF(SUM(L56:O56)=0,"",N56/SUM(L56:O56))</f>
        <v/>
      </c>
      <c r="W56" s="7">
        <f>IF(SUM(L56:O56)=0,"",O56/SUM(L56:O56))</f>
        <v/>
      </c>
    </row>
    <row r="57">
      <c r="A57" t="n">
        <v>65</v>
      </c>
      <c r="B57" t="inlineStr">
        <is>
          <t>I thought that was interesting, but I didn't join because I didn't know anyone on the committee. But then I was at cross country practice one day and heard one of my friends talking about being involved in the Council, and that's what got me to join. After I joined, I found myself looking up to the Council's officers-it was cool to see young people in leadership roles.</t>
        </is>
      </c>
      <c r="C57" t="n">
        <v>0</v>
      </c>
      <c r="D57" t="n">
        <v>2</v>
      </c>
      <c r="E57" t="n">
        <v>0</v>
      </c>
      <c r="F57" t="n">
        <v>0</v>
      </c>
      <c r="G57" t="b">
        <v>0</v>
      </c>
      <c r="H57" t="n">
        <v>0</v>
      </c>
      <c r="I57" t="n">
        <v>0</v>
      </c>
      <c r="J57" t="n">
        <v>0</v>
      </c>
      <c r="K57" t="n">
        <v>0</v>
      </c>
      <c r="L57" t="n">
        <v>0</v>
      </c>
      <c r="M57" t="n">
        <v>2</v>
      </c>
      <c r="N57" t="n">
        <v>1</v>
      </c>
      <c r="O57" t="n">
        <v>3</v>
      </c>
      <c r="P57" s="7">
        <f>IF(SUM(H57:K57)=0,"",H57/SUM(H57:K57))</f>
        <v/>
      </c>
      <c r="Q57" s="7">
        <f>IF(SUM(H57:K57)=0,"",I57/SUM(H57:K57))</f>
        <v/>
      </c>
      <c r="R57" s="7">
        <f>IF(SUM(H57:K57)=0,"",J57/SUM(H57:K57))</f>
        <v/>
      </c>
      <c r="S57" s="7">
        <f>IF(SUM(H57:K57)=0,"",K57/SUM(H57:K57))</f>
        <v/>
      </c>
      <c r="T57" s="7">
        <f>IF(SUM(L57:O57)=0,"",L57/SUM(L57:O57))</f>
        <v/>
      </c>
      <c r="U57" s="7">
        <f>IF(SUM(L57:O57)=0,"",M57/SUM(L57:O57))</f>
        <v/>
      </c>
      <c r="V57" s="7">
        <f>IF(SUM(L57:O57)=0,"",N57/SUM(L57:O57))</f>
        <v/>
      </c>
      <c r="W57" s="7">
        <f>IF(SUM(L57:O57)=0,"",O57/SUM(L57:O57))</f>
        <v/>
      </c>
    </row>
    <row r="58">
      <c r="A58" t="n">
        <v>66</v>
      </c>
      <c r="B58" t="inlineStr">
        <is>
          <t>I wanted to be a role model for future kids, and that became something I wanted to take on."</t>
        </is>
      </c>
      <c r="C58" t="n">
        <v>0</v>
      </c>
      <c r="D58" t="n">
        <v>0</v>
      </c>
      <c r="E58" t="n">
        <v>0</v>
      </c>
      <c r="F58" t="n">
        <v>0</v>
      </c>
      <c r="G58" t="b">
        <v>0</v>
      </c>
      <c r="H58" t="n">
        <v>0</v>
      </c>
      <c r="I58" t="n">
        <v>0</v>
      </c>
      <c r="J58" t="n">
        <v>0</v>
      </c>
      <c r="K58" t="n">
        <v>0</v>
      </c>
      <c r="L58" t="n">
        <v>0</v>
      </c>
      <c r="M58" t="n">
        <v>0</v>
      </c>
      <c r="N58" t="n">
        <v>0</v>
      </c>
      <c r="O58" t="n">
        <v>0</v>
      </c>
      <c r="P58" s="7">
        <f>IF(SUM(H58:K58)=0,"",H58/SUM(H58:K58))</f>
        <v/>
      </c>
      <c r="Q58" s="7">
        <f>IF(SUM(H58:K58)=0,"",I58/SUM(H58:K58))</f>
        <v/>
      </c>
      <c r="R58" s="7">
        <f>IF(SUM(H58:K58)=0,"",J58/SUM(H58:K58))</f>
        <v/>
      </c>
      <c r="S58" s="7">
        <f>IF(SUM(H58:K58)=0,"",K58/SUM(H58:K58))</f>
        <v/>
      </c>
      <c r="T58" s="7">
        <f>IF(SUM(L58:O58)=0,"",L58/SUM(L58:O58))</f>
        <v/>
      </c>
      <c r="U58" s="7">
        <f>IF(SUM(L58:O58)=0,"",M58/SUM(L58:O58))</f>
        <v/>
      </c>
      <c r="V58" s="7">
        <f>IF(SUM(L58:O58)=0,"",N58/SUM(L58:O58))</f>
        <v/>
      </c>
      <c r="W58" s="7">
        <f>IF(SUM(L58:O58)=0,"",O58/SUM(L58:O58))</f>
        <v/>
      </c>
    </row>
    <row r="59">
      <c r="A59" t="n">
        <v>68</v>
      </c>
      <c r="B59" t="inlineStr">
        <is>
          <t>'I became involved with the Midland Soccer Club when my daughter started playing at the age of four.</t>
        </is>
      </c>
      <c r="C59" t="n">
        <v>0</v>
      </c>
      <c r="D59" t="n">
        <v>0</v>
      </c>
      <c r="E59" t="n">
        <v>0</v>
      </c>
      <c r="F59" t="n">
        <v>0</v>
      </c>
      <c r="G59" t="b">
        <v>0</v>
      </c>
      <c r="H59" t="n">
        <v>0</v>
      </c>
      <c r="I59" t="n">
        <v>0</v>
      </c>
      <c r="J59" t="n">
        <v>0</v>
      </c>
      <c r="K59" t="n">
        <v>0</v>
      </c>
      <c r="L59" t="n">
        <v>0</v>
      </c>
      <c r="M59" t="n">
        <v>0</v>
      </c>
      <c r="N59" t="n">
        <v>0</v>
      </c>
      <c r="O59" t="n">
        <v>0</v>
      </c>
      <c r="P59" s="7">
        <f>IF(SUM(H59:K59)=0,"",H59/SUM(H59:K59))</f>
        <v/>
      </c>
      <c r="Q59" s="7">
        <f>IF(SUM(H59:K59)=0,"",I59/SUM(H59:K59))</f>
        <v/>
      </c>
      <c r="R59" s="7">
        <f>IF(SUM(H59:K59)=0,"",J59/SUM(H59:K59))</f>
        <v/>
      </c>
      <c r="S59" s="7">
        <f>IF(SUM(H59:K59)=0,"",K59/SUM(H59:K59))</f>
        <v/>
      </c>
      <c r="T59" s="7">
        <f>IF(SUM(L59:O59)=0,"",L59/SUM(L59:O59))</f>
        <v/>
      </c>
      <c r="U59" s="7">
        <f>IF(SUM(L59:O59)=0,"",M59/SUM(L59:O59))</f>
        <v/>
      </c>
      <c r="V59" s="7">
        <f>IF(SUM(L59:O59)=0,"",N59/SUM(L59:O59))</f>
        <v/>
      </c>
      <c r="W59" s="7">
        <f>IF(SUM(L59:O59)=0,"",O59/SUM(L59:O59))</f>
        <v/>
      </c>
    </row>
    <row r="60">
      <c r="A60" t="n">
        <v>69</v>
      </c>
      <c r="B60" t="inlineStr">
        <is>
          <t>At the time, the Club was discussing building new fields and a building, and since I came from the construction business, I offered to help with the expansion in early 2000.</t>
        </is>
      </c>
      <c r="C60" t="n">
        <v>0</v>
      </c>
      <c r="D60" t="n">
        <v>0</v>
      </c>
      <c r="E60" t="n">
        <v>0</v>
      </c>
      <c r="F60" t="n">
        <v>0</v>
      </c>
      <c r="G60" t="b">
        <v>0</v>
      </c>
      <c r="H60" t="n">
        <v>0</v>
      </c>
      <c r="I60" t="n">
        <v>0</v>
      </c>
      <c r="J60" t="n">
        <v>0</v>
      </c>
      <c r="K60" t="n">
        <v>0</v>
      </c>
      <c r="L60" t="n">
        <v>0</v>
      </c>
      <c r="M60" t="n">
        <v>0</v>
      </c>
      <c r="N60" t="n">
        <v>0</v>
      </c>
      <c r="O60" t="n">
        <v>0</v>
      </c>
      <c r="P60" s="7">
        <f>IF(SUM(H60:K60)=0,"",H60/SUM(H60:K60))</f>
        <v/>
      </c>
      <c r="Q60" s="7">
        <f>IF(SUM(H60:K60)=0,"",I60/SUM(H60:K60))</f>
        <v/>
      </c>
      <c r="R60" s="7">
        <f>IF(SUM(H60:K60)=0,"",J60/SUM(H60:K60))</f>
        <v/>
      </c>
      <c r="S60" s="7">
        <f>IF(SUM(H60:K60)=0,"",K60/SUM(H60:K60))</f>
        <v/>
      </c>
      <c r="T60" s="7">
        <f>IF(SUM(L60:O60)=0,"",L60/SUM(L60:O60))</f>
        <v/>
      </c>
      <c r="U60" s="7">
        <f>IF(SUM(L60:O60)=0,"",M60/SUM(L60:O60))</f>
        <v/>
      </c>
      <c r="V60" s="7">
        <f>IF(SUM(L60:O60)=0,"",N60/SUM(L60:O60))</f>
        <v/>
      </c>
      <c r="W60" s="7">
        <f>IF(SUM(L60:O60)=0,"",O60/SUM(L60:O60))</f>
        <v/>
      </c>
    </row>
    <row r="61">
      <c r="A61" t="n">
        <v>70</v>
      </c>
      <c r="B61" t="inlineStr">
        <is>
          <t>[individual_tag] was our lead fundraising person, and that's also where [community_foundation_tag] comes in. What's great about [community_foundation_tag] is that they look at supporting the greater community, and they helped us fundraise for the building, the fields, and the alarm system for early weather warnings."</t>
        </is>
      </c>
      <c r="C61" t="n">
        <v>1</v>
      </c>
      <c r="D61" t="n">
        <v>3</v>
      </c>
      <c r="E61" t="n">
        <v>0</v>
      </c>
      <c r="F61" t="n">
        <v>0</v>
      </c>
      <c r="G61" t="b">
        <v>1</v>
      </c>
      <c r="H61" t="n">
        <v>2</v>
      </c>
      <c r="I61" t="n">
        <v>0</v>
      </c>
      <c r="J61" t="n">
        <v>0</v>
      </c>
      <c r="K61" t="n">
        <v>0</v>
      </c>
      <c r="L61" t="n">
        <v>6</v>
      </c>
      <c r="M61" t="n">
        <v>2</v>
      </c>
      <c r="N61" t="n">
        <v>1</v>
      </c>
      <c r="O61" t="n">
        <v>0</v>
      </c>
      <c r="P61" s="7">
        <f>IF(SUM(H61:K61)=0,"",H61/SUM(H61:K61))</f>
        <v/>
      </c>
      <c r="Q61" s="7">
        <f>IF(SUM(H61:K61)=0,"",I61/SUM(H61:K61))</f>
        <v/>
      </c>
      <c r="R61" s="7">
        <f>IF(SUM(H61:K61)=0,"",J61/SUM(H61:K61))</f>
        <v/>
      </c>
      <c r="S61" s="7">
        <f>IF(SUM(H61:K61)=0,"",K61/SUM(H61:K61))</f>
        <v/>
      </c>
      <c r="T61" s="7">
        <f>IF(SUM(L61:O61)=0,"",L61/SUM(L61:O61))</f>
        <v/>
      </c>
      <c r="U61" s="7">
        <f>IF(SUM(L61:O61)=0,"",M61/SUM(L61:O61))</f>
        <v/>
      </c>
      <c r="V61" s="7">
        <f>IF(SUM(L61:O61)=0,"",N61/SUM(L61:O61))</f>
        <v/>
      </c>
      <c r="W61" s="7">
        <f>IF(SUM(L61:O61)=0,"",O61/SUM(L61:O61))</f>
        <v/>
      </c>
    </row>
    <row r="62">
      <c r="A62" t="n">
        <v>72</v>
      </c>
      <c r="B62" t="inlineStr">
        <is>
          <t>"My wife developed breast cancer and passed away in 1983.</t>
        </is>
      </c>
      <c r="C62" t="n">
        <v>1</v>
      </c>
      <c r="D62" t="n">
        <v>0</v>
      </c>
      <c r="E62" t="n">
        <v>0</v>
      </c>
      <c r="F62" t="n">
        <v>0</v>
      </c>
      <c r="G62" t="b">
        <v>0</v>
      </c>
      <c r="H62" t="n">
        <v>0</v>
      </c>
      <c r="I62" t="n">
        <v>2</v>
      </c>
      <c r="J62" t="n">
        <v>0</v>
      </c>
      <c r="K62" t="n">
        <v>0</v>
      </c>
      <c r="L62" t="n">
        <v>0</v>
      </c>
      <c r="M62" t="n">
        <v>0</v>
      </c>
      <c r="N62" t="n">
        <v>0</v>
      </c>
      <c r="O62" t="n">
        <v>0</v>
      </c>
      <c r="P62" s="7">
        <f>IF(SUM(H62:K62)=0,"",H62/SUM(H62:K62))</f>
        <v/>
      </c>
      <c r="Q62" s="7">
        <f>IF(SUM(H62:K62)=0,"",I62/SUM(H62:K62))</f>
        <v/>
      </c>
      <c r="R62" s="7">
        <f>IF(SUM(H62:K62)=0,"",J62/SUM(H62:K62))</f>
        <v/>
      </c>
      <c r="S62" s="7">
        <f>IF(SUM(H62:K62)=0,"",K62/SUM(H62:K62))</f>
        <v/>
      </c>
      <c r="T62" s="7">
        <f>IF(SUM(L62:O62)=0,"",L62/SUM(L62:O62))</f>
        <v/>
      </c>
      <c r="U62" s="7">
        <f>IF(SUM(L62:O62)=0,"",M62/SUM(L62:O62))</f>
        <v/>
      </c>
      <c r="V62" s="7">
        <f>IF(SUM(L62:O62)=0,"",N62/SUM(L62:O62))</f>
        <v/>
      </c>
      <c r="W62" s="7">
        <f>IF(SUM(L62:O62)=0,"",O62/SUM(L62:O62))</f>
        <v/>
      </c>
    </row>
    <row r="63">
      <c r="A63" t="n">
        <v>73</v>
      </c>
      <c r="B63" t="inlineStr">
        <is>
          <t>My daughters were only two and seven, so I got involved with [community_foundation_tag] because I wanted to do some things to remember her and show my daughters how we can honor her life by giving back to others like she would have liked...</t>
        </is>
      </c>
      <c r="C63" t="n">
        <v>1</v>
      </c>
      <c r="D63" t="n">
        <v>2</v>
      </c>
      <c r="E63" t="n">
        <v>0</v>
      </c>
      <c r="F63" t="n">
        <v>0</v>
      </c>
      <c r="G63" t="b">
        <v>1</v>
      </c>
      <c r="H63" t="n">
        <v>0</v>
      </c>
      <c r="I63" t="n">
        <v>2</v>
      </c>
      <c r="J63" t="n">
        <v>0</v>
      </c>
      <c r="K63" t="n">
        <v>0</v>
      </c>
      <c r="L63" t="n">
        <v>2</v>
      </c>
      <c r="M63" t="n">
        <v>4</v>
      </c>
      <c r="N63" t="n">
        <v>0</v>
      </c>
      <c r="O63" t="n">
        <v>0</v>
      </c>
      <c r="P63" s="7">
        <f>IF(SUM(H63:K63)=0,"",H63/SUM(H63:K63))</f>
        <v/>
      </c>
      <c r="Q63" s="7">
        <f>IF(SUM(H63:K63)=0,"",I63/SUM(H63:K63))</f>
        <v/>
      </c>
      <c r="R63" s="7">
        <f>IF(SUM(H63:K63)=0,"",J63/SUM(H63:K63))</f>
        <v/>
      </c>
      <c r="S63" s="7">
        <f>IF(SUM(H63:K63)=0,"",K63/SUM(H63:K63))</f>
        <v/>
      </c>
      <c r="T63" s="7">
        <f>IF(SUM(L63:O63)=0,"",L63/SUM(L63:O63))</f>
        <v/>
      </c>
      <c r="U63" s="7">
        <f>IF(SUM(L63:O63)=0,"",M63/SUM(L63:O63))</f>
        <v/>
      </c>
      <c r="V63" s="7">
        <f>IF(SUM(L63:O63)=0,"",N63/SUM(L63:O63))</f>
        <v/>
      </c>
      <c r="W63" s="7">
        <f>IF(SUM(L63:O63)=0,"",O63/SUM(L63:O63))</f>
        <v/>
      </c>
    </row>
    <row r="64">
      <c r="A64" t="n">
        <v>74</v>
      </c>
      <c r="B64" t="inlineStr">
        <is>
          <t>I was looking for ways to help [community_foundation_tag] and showed some interest in Fireworks, so they said, 'great, we need someone to take over the fireworks [at] River Days,'</t>
        </is>
      </c>
      <c r="C64" t="n">
        <v>1</v>
      </c>
      <c r="D64" t="n">
        <v>1</v>
      </c>
      <c r="E64" t="n">
        <v>0</v>
      </c>
      <c r="F64" t="n">
        <v>0</v>
      </c>
      <c r="G64" t="b">
        <v>1</v>
      </c>
      <c r="H64" t="n">
        <v>0</v>
      </c>
      <c r="I64" t="n">
        <v>2</v>
      </c>
      <c r="J64" t="n">
        <v>0</v>
      </c>
      <c r="K64" t="n">
        <v>0</v>
      </c>
      <c r="L64" t="n">
        <v>1</v>
      </c>
      <c r="M64" t="n">
        <v>2</v>
      </c>
      <c r="N64" t="n">
        <v>0</v>
      </c>
      <c r="O64" t="n">
        <v>0</v>
      </c>
      <c r="P64" s="7">
        <f>IF(SUM(H64:K64)=0,"",H64/SUM(H64:K64))</f>
        <v/>
      </c>
      <c r="Q64" s="7">
        <f>IF(SUM(H64:K64)=0,"",I64/SUM(H64:K64))</f>
        <v/>
      </c>
      <c r="R64" s="7">
        <f>IF(SUM(H64:K64)=0,"",J64/SUM(H64:K64))</f>
        <v/>
      </c>
      <c r="S64" s="7">
        <f>IF(SUM(H64:K64)=0,"",K64/SUM(H64:K64))</f>
        <v/>
      </c>
      <c r="T64" s="7">
        <f>IF(SUM(L64:O64)=0,"",L64/SUM(L64:O64))</f>
        <v/>
      </c>
      <c r="U64" s="7">
        <f>IF(SUM(L64:O64)=0,"",M64/SUM(L64:O64))</f>
        <v/>
      </c>
      <c r="V64" s="7">
        <f>IF(SUM(L64:O64)=0,"",N64/SUM(L64:O64))</f>
        <v/>
      </c>
      <c r="W64" s="7">
        <f>IF(SUM(L64:O64)=0,"",O64/SUM(L64:O64))</f>
        <v/>
      </c>
    </row>
    <row r="65">
      <c r="A65" t="n">
        <v>75</v>
      </c>
      <c r="B65" t="inlineStr">
        <is>
          <t>I have been doing that for 20 years now.'"</t>
        </is>
      </c>
      <c r="C65" t="n">
        <v>1</v>
      </c>
      <c r="D65" t="n">
        <v>0</v>
      </c>
      <c r="E65" t="n">
        <v>0</v>
      </c>
      <c r="F65" t="n">
        <v>0</v>
      </c>
      <c r="G65" t="b">
        <v>0</v>
      </c>
      <c r="H65" t="n">
        <v>0</v>
      </c>
      <c r="I65" t="n">
        <v>2</v>
      </c>
      <c r="J65" t="n">
        <v>0</v>
      </c>
      <c r="K65" t="n">
        <v>0</v>
      </c>
      <c r="L65" t="n">
        <v>0</v>
      </c>
      <c r="M65" t="n">
        <v>0</v>
      </c>
      <c r="N65" t="n">
        <v>0</v>
      </c>
      <c r="O65" t="n">
        <v>0</v>
      </c>
      <c r="P65" s="7">
        <f>IF(SUM(H65:K65)=0,"",H65/SUM(H65:K65))</f>
        <v/>
      </c>
      <c r="Q65" s="7">
        <f>IF(SUM(H65:K65)=0,"",I65/SUM(H65:K65))</f>
        <v/>
      </c>
      <c r="R65" s="7">
        <f>IF(SUM(H65:K65)=0,"",J65/SUM(H65:K65))</f>
        <v/>
      </c>
      <c r="S65" s="7">
        <f>IF(SUM(H65:K65)=0,"",K65/SUM(H65:K65))</f>
        <v/>
      </c>
      <c r="T65" s="7">
        <f>IF(SUM(L65:O65)=0,"",L65/SUM(L65:O65))</f>
        <v/>
      </c>
      <c r="U65" s="7">
        <f>IF(SUM(L65:O65)=0,"",M65/SUM(L65:O65))</f>
        <v/>
      </c>
      <c r="V65" s="7">
        <f>IF(SUM(L65:O65)=0,"",N65/SUM(L65:O65))</f>
        <v/>
      </c>
      <c r="W65" s="7">
        <f>IF(SUM(L65:O65)=0,"",O65/SUM(L65:O65))</f>
        <v/>
      </c>
    </row>
    <row r="66">
      <c r="A66" t="n">
        <v>77</v>
      </c>
      <c r="B66" t="inlineStr">
        <is>
          <t>'Many things led to where I am today, but with [community_foundation_tag], my first interaction was with applying for a scholarship when I was in high school at Dow High. I received an anonymous donor scholarship from [community_foundation_tag], which helped me immensely. And so it was this incredible gift to me.</t>
        </is>
      </c>
      <c r="C66" t="n">
        <v>0</v>
      </c>
      <c r="D66" t="n">
        <v>3</v>
      </c>
      <c r="E66" t="n">
        <v>0</v>
      </c>
      <c r="F66" t="n">
        <v>0</v>
      </c>
      <c r="G66" t="b">
        <v>0</v>
      </c>
      <c r="H66" t="n">
        <v>0</v>
      </c>
      <c r="I66" t="n">
        <v>0</v>
      </c>
      <c r="J66" t="n">
        <v>0</v>
      </c>
      <c r="K66" t="n">
        <v>0</v>
      </c>
      <c r="L66" t="n">
        <v>2</v>
      </c>
      <c r="M66" t="n">
        <v>6</v>
      </c>
      <c r="N66" t="n">
        <v>1</v>
      </c>
      <c r="O66" t="n">
        <v>0</v>
      </c>
      <c r="P66" s="7">
        <f>IF(SUM(H66:K66)=0,"",H66/SUM(H66:K66))</f>
        <v/>
      </c>
      <c r="Q66" s="7">
        <f>IF(SUM(H66:K66)=0,"",I66/SUM(H66:K66))</f>
        <v/>
      </c>
      <c r="R66" s="7">
        <f>IF(SUM(H66:K66)=0,"",J66/SUM(H66:K66))</f>
        <v/>
      </c>
      <c r="S66" s="7">
        <f>IF(SUM(H66:K66)=0,"",K66/SUM(H66:K66))</f>
        <v/>
      </c>
      <c r="T66" s="7">
        <f>IF(SUM(L66:O66)=0,"",L66/SUM(L66:O66))</f>
        <v/>
      </c>
      <c r="U66" s="7">
        <f>IF(SUM(L66:O66)=0,"",M66/SUM(L66:O66))</f>
        <v/>
      </c>
      <c r="V66" s="7">
        <f>IF(SUM(L66:O66)=0,"",N66/SUM(L66:O66))</f>
        <v/>
      </c>
      <c r="W66" s="7">
        <f>IF(SUM(L66:O66)=0,"",O66/SUM(L66:O66))</f>
        <v/>
      </c>
    </row>
    <row r="67">
      <c r="A67" t="n">
        <v>78</v>
      </c>
      <c r="B67" t="inlineStr">
        <is>
          <t>I'd been saving for college, knowing I'd pay for it myself.</t>
        </is>
      </c>
      <c r="C67" t="n">
        <v>0</v>
      </c>
      <c r="D67" t="n">
        <v>0</v>
      </c>
      <c r="E67" t="n">
        <v>0</v>
      </c>
      <c r="F67" t="n">
        <v>0</v>
      </c>
      <c r="G67" t="b">
        <v>0</v>
      </c>
      <c r="H67" t="n">
        <v>0</v>
      </c>
      <c r="I67" t="n">
        <v>0</v>
      </c>
      <c r="J67" t="n">
        <v>0</v>
      </c>
      <c r="K67" t="n">
        <v>0</v>
      </c>
      <c r="L67" t="n">
        <v>0</v>
      </c>
      <c r="M67" t="n">
        <v>0</v>
      </c>
      <c r="N67" t="n">
        <v>0</v>
      </c>
      <c r="O67" t="n">
        <v>0</v>
      </c>
      <c r="P67" s="7">
        <f>IF(SUM(H67:K67)=0,"",H67/SUM(H67:K67))</f>
        <v/>
      </c>
      <c r="Q67" s="7">
        <f>IF(SUM(H67:K67)=0,"",I67/SUM(H67:K67))</f>
        <v/>
      </c>
      <c r="R67" s="7">
        <f>IF(SUM(H67:K67)=0,"",J67/SUM(H67:K67))</f>
        <v/>
      </c>
      <c r="S67" s="7">
        <f>IF(SUM(H67:K67)=0,"",K67/SUM(H67:K67))</f>
        <v/>
      </c>
      <c r="T67" s="7">
        <f>IF(SUM(L67:O67)=0,"",L67/SUM(L67:O67))</f>
        <v/>
      </c>
      <c r="U67" s="7">
        <f>IF(SUM(L67:O67)=0,"",M67/SUM(L67:O67))</f>
        <v/>
      </c>
      <c r="V67" s="7">
        <f>IF(SUM(L67:O67)=0,"",N67/SUM(L67:O67))</f>
        <v/>
      </c>
      <c r="W67" s="7">
        <f>IF(SUM(L67:O67)=0,"",O67/SUM(L67:O67))</f>
        <v/>
      </c>
    </row>
    <row r="68">
      <c r="A68" t="n">
        <v>79</v>
      </c>
      <c r="B68" t="inlineStr">
        <is>
          <t>But it was massive and helped me to get started and be the first person in my family to get a four-year degree.</t>
        </is>
      </c>
      <c r="C68" t="n">
        <v>0</v>
      </c>
      <c r="D68" t="n">
        <v>1</v>
      </c>
      <c r="E68" t="n">
        <v>0</v>
      </c>
      <c r="F68" t="n">
        <v>0</v>
      </c>
      <c r="G68" t="b">
        <v>0</v>
      </c>
      <c r="H68" t="n">
        <v>0</v>
      </c>
      <c r="I68" t="n">
        <v>0</v>
      </c>
      <c r="J68" t="n">
        <v>0</v>
      </c>
      <c r="K68" t="n">
        <v>0</v>
      </c>
      <c r="L68" t="n">
        <v>0</v>
      </c>
      <c r="M68" t="n">
        <v>1</v>
      </c>
      <c r="N68" t="n">
        <v>0</v>
      </c>
      <c r="O68" t="n">
        <v>2</v>
      </c>
      <c r="P68" s="7">
        <f>IF(SUM(H68:K68)=0,"",H68/SUM(H68:K68))</f>
        <v/>
      </c>
      <c r="Q68" s="7">
        <f>IF(SUM(H68:K68)=0,"",I68/SUM(H68:K68))</f>
        <v/>
      </c>
      <c r="R68" s="7">
        <f>IF(SUM(H68:K68)=0,"",J68/SUM(H68:K68))</f>
        <v/>
      </c>
      <c r="S68" s="7">
        <f>IF(SUM(H68:K68)=0,"",K68/SUM(H68:K68))</f>
        <v/>
      </c>
      <c r="T68" s="7">
        <f>IF(SUM(L68:O68)=0,"",L68/SUM(L68:O68))</f>
        <v/>
      </c>
      <c r="U68" s="7">
        <f>IF(SUM(L68:O68)=0,"",M68/SUM(L68:O68))</f>
        <v/>
      </c>
      <c r="V68" s="7">
        <f>IF(SUM(L68:O68)=0,"",N68/SUM(L68:O68))</f>
        <v/>
      </c>
      <c r="W68" s="7">
        <f>IF(SUM(L68:O68)=0,"",O68/SUM(L68:O68))</f>
        <v/>
      </c>
    </row>
    <row r="69">
      <c r="A69" t="n">
        <v>80</v>
      </c>
      <c r="B69" t="inlineStr">
        <is>
          <t>I remember [individual_tag] shaking my hand at the ceremony that I attended with my mom.</t>
        </is>
      </c>
      <c r="C69" t="n">
        <v>0</v>
      </c>
      <c r="D69" t="n">
        <v>0</v>
      </c>
      <c r="E69" t="n">
        <v>0</v>
      </c>
      <c r="F69" t="n">
        <v>0</v>
      </c>
      <c r="G69" t="b">
        <v>0</v>
      </c>
      <c r="H69" t="n">
        <v>0</v>
      </c>
      <c r="I69" t="n">
        <v>0</v>
      </c>
      <c r="J69" t="n">
        <v>0</v>
      </c>
      <c r="K69" t="n">
        <v>0</v>
      </c>
      <c r="L69" t="n">
        <v>0</v>
      </c>
      <c r="M69" t="n">
        <v>0</v>
      </c>
      <c r="N69" t="n">
        <v>0</v>
      </c>
      <c r="O69" t="n">
        <v>0</v>
      </c>
      <c r="P69" s="7">
        <f>IF(SUM(H69:K69)=0,"",H69/SUM(H69:K69))</f>
        <v/>
      </c>
      <c r="Q69" s="7">
        <f>IF(SUM(H69:K69)=0,"",I69/SUM(H69:K69))</f>
        <v/>
      </c>
      <c r="R69" s="7">
        <f>IF(SUM(H69:K69)=0,"",J69/SUM(H69:K69))</f>
        <v/>
      </c>
      <c r="S69" s="7">
        <f>IF(SUM(H69:K69)=0,"",K69/SUM(H69:K69))</f>
        <v/>
      </c>
      <c r="T69" s="7">
        <f>IF(SUM(L69:O69)=0,"",L69/SUM(L69:O69))</f>
        <v/>
      </c>
      <c r="U69" s="7">
        <f>IF(SUM(L69:O69)=0,"",M69/SUM(L69:O69))</f>
        <v/>
      </c>
      <c r="V69" s="7">
        <f>IF(SUM(L69:O69)=0,"",N69/SUM(L69:O69))</f>
        <v/>
      </c>
      <c r="W69" s="7">
        <f>IF(SUM(L69:O69)=0,"",O69/SUM(L69:O69))</f>
        <v/>
      </c>
    </row>
    <row r="70">
      <c r="A70" t="n">
        <v>81</v>
      </c>
      <c r="B70" t="inlineStr">
        <is>
          <t>From this experience, mentorship from [individual_tag], and how my mom and grandfather lived with a philosophy of helping other people, a whole new avenue opened up for me."</t>
        </is>
      </c>
      <c r="C70" t="n">
        <v>0</v>
      </c>
      <c r="D70" t="n">
        <v>1</v>
      </c>
      <c r="E70" t="n">
        <v>0</v>
      </c>
      <c r="F70" t="n">
        <v>0</v>
      </c>
      <c r="G70" t="b">
        <v>0</v>
      </c>
      <c r="H70" t="n">
        <v>0</v>
      </c>
      <c r="I70" t="n">
        <v>0</v>
      </c>
      <c r="J70" t="n">
        <v>0</v>
      </c>
      <c r="K70" t="n">
        <v>0</v>
      </c>
      <c r="L70" t="n">
        <v>2</v>
      </c>
      <c r="M70" t="n">
        <v>1</v>
      </c>
      <c r="N70" t="n">
        <v>0</v>
      </c>
      <c r="O70" t="n">
        <v>0</v>
      </c>
      <c r="P70" s="7">
        <f>IF(SUM(H70:K70)=0,"",H70/SUM(H70:K70))</f>
        <v/>
      </c>
      <c r="Q70" s="7">
        <f>IF(SUM(H70:K70)=0,"",I70/SUM(H70:K70))</f>
        <v/>
      </c>
      <c r="R70" s="7">
        <f>IF(SUM(H70:K70)=0,"",J70/SUM(H70:K70))</f>
        <v/>
      </c>
      <c r="S70" s="7">
        <f>IF(SUM(H70:K70)=0,"",K70/SUM(H70:K70))</f>
        <v/>
      </c>
      <c r="T70" s="7">
        <f>IF(SUM(L70:O70)=0,"",L70/SUM(L70:O70))</f>
        <v/>
      </c>
      <c r="U70" s="7">
        <f>IF(SUM(L70:O70)=0,"",M70/SUM(L70:O70))</f>
        <v/>
      </c>
      <c r="V70" s="7">
        <f>IF(SUM(L70:O70)=0,"",N70/SUM(L70:O70))</f>
        <v/>
      </c>
      <c r="W70" s="7">
        <f>IF(SUM(L70:O70)=0,"",O70/SUM(L70:O70))</f>
        <v/>
      </c>
    </row>
    <row r="71">
      <c r="A71" t="n">
        <v>83</v>
      </c>
      <c r="B71" t="inlineStr">
        <is>
          <t>"A lot of communities don't have something like [community_foundation_tag], organizations who are able to help with projects like these, and we're totally blessed.</t>
        </is>
      </c>
      <c r="C71" t="n">
        <v>0</v>
      </c>
      <c r="D71" t="n">
        <v>2</v>
      </c>
      <c r="E71" t="n">
        <v>0</v>
      </c>
      <c r="F71" t="n">
        <v>0</v>
      </c>
      <c r="G71" t="b">
        <v>0</v>
      </c>
      <c r="H71" t="n">
        <v>0</v>
      </c>
      <c r="I71" t="n">
        <v>0</v>
      </c>
      <c r="J71" t="n">
        <v>0</v>
      </c>
      <c r="K71" t="n">
        <v>0</v>
      </c>
      <c r="L71" t="n">
        <v>4</v>
      </c>
      <c r="M71" t="n">
        <v>0</v>
      </c>
      <c r="N71" t="n">
        <v>2</v>
      </c>
      <c r="O71" t="n">
        <v>0</v>
      </c>
      <c r="P71" s="7">
        <f>IF(SUM(H71:K71)=0,"",H71/SUM(H71:K71))</f>
        <v/>
      </c>
      <c r="Q71" s="7">
        <f>IF(SUM(H71:K71)=0,"",I71/SUM(H71:K71))</f>
        <v/>
      </c>
      <c r="R71" s="7">
        <f>IF(SUM(H71:K71)=0,"",J71/SUM(H71:K71))</f>
        <v/>
      </c>
      <c r="S71" s="7">
        <f>IF(SUM(H71:K71)=0,"",K71/SUM(H71:K71))</f>
        <v/>
      </c>
      <c r="T71" s="7">
        <f>IF(SUM(L71:O71)=0,"",L71/SUM(L71:O71))</f>
        <v/>
      </c>
      <c r="U71" s="7">
        <f>IF(SUM(L71:O71)=0,"",M71/SUM(L71:O71))</f>
        <v/>
      </c>
      <c r="V71" s="7">
        <f>IF(SUM(L71:O71)=0,"",N71/SUM(L71:O71))</f>
        <v/>
      </c>
      <c r="W71" s="7">
        <f>IF(SUM(L71:O71)=0,"",O71/SUM(L71:O71))</f>
        <v/>
      </c>
    </row>
    <row r="72">
      <c r="A72" t="n">
        <v>84</v>
      </c>
      <c r="B72" t="inlineStr">
        <is>
          <t>Once completed, the Pere-Marquette Rail Trail became an excellent way to be able to link the communities!</t>
        </is>
      </c>
      <c r="C72" t="n">
        <v>0</v>
      </c>
      <c r="D72" t="n">
        <v>1</v>
      </c>
      <c r="E72" t="n">
        <v>0</v>
      </c>
      <c r="F72" t="n">
        <v>0</v>
      </c>
      <c r="G72" t="b">
        <v>0</v>
      </c>
      <c r="H72" t="n">
        <v>0</v>
      </c>
      <c r="I72" t="n">
        <v>0</v>
      </c>
      <c r="J72" t="n">
        <v>0</v>
      </c>
      <c r="K72" t="n">
        <v>0</v>
      </c>
      <c r="L72" t="n">
        <v>2</v>
      </c>
      <c r="M72" t="n">
        <v>0</v>
      </c>
      <c r="N72" t="n">
        <v>1</v>
      </c>
      <c r="O72" t="n">
        <v>0</v>
      </c>
      <c r="P72" s="7">
        <f>IF(SUM(H72:K72)=0,"",H72/SUM(H72:K72))</f>
        <v/>
      </c>
      <c r="Q72" s="7">
        <f>IF(SUM(H72:K72)=0,"",I72/SUM(H72:K72))</f>
        <v/>
      </c>
      <c r="R72" s="7">
        <f>IF(SUM(H72:K72)=0,"",J72/SUM(H72:K72))</f>
        <v/>
      </c>
      <c r="S72" s="7">
        <f>IF(SUM(H72:K72)=0,"",K72/SUM(H72:K72))</f>
        <v/>
      </c>
      <c r="T72" s="7">
        <f>IF(SUM(L72:O72)=0,"",L72/SUM(L72:O72))</f>
        <v/>
      </c>
      <c r="U72" s="7">
        <f>IF(SUM(L72:O72)=0,"",M72/SUM(L72:O72))</f>
        <v/>
      </c>
      <c r="V72" s="7">
        <f>IF(SUM(L72:O72)=0,"",N72/SUM(L72:O72))</f>
        <v/>
      </c>
      <c r="W72" s="7">
        <f>IF(SUM(L72:O72)=0,"",O72/SUM(L72:O72))</f>
        <v/>
      </c>
    </row>
    <row r="73">
      <c r="A73" t="n">
        <v>85</v>
      </c>
      <c r="B73" t="inlineStr">
        <is>
          <t>Plus, you can use the corridors for bicycling, for transportation, and I get a smile on my face whenever I see somebody go down in a motorized wheelchair.</t>
        </is>
      </c>
      <c r="C73" t="n">
        <v>1</v>
      </c>
      <c r="D73" t="n">
        <v>1</v>
      </c>
      <c r="E73" t="n">
        <v>0</v>
      </c>
      <c r="F73" t="n">
        <v>0</v>
      </c>
      <c r="G73" t="b">
        <v>1</v>
      </c>
      <c r="H73" t="n">
        <v>0</v>
      </c>
      <c r="I73" t="n">
        <v>0</v>
      </c>
      <c r="J73" t="n">
        <v>2</v>
      </c>
      <c r="K73" t="n">
        <v>1</v>
      </c>
      <c r="L73" t="n">
        <v>1</v>
      </c>
      <c r="M73" t="n">
        <v>0</v>
      </c>
      <c r="N73" t="n">
        <v>0</v>
      </c>
      <c r="O73" t="n">
        <v>2</v>
      </c>
      <c r="P73" s="7">
        <f>IF(SUM(H73:K73)=0,"",H73/SUM(H73:K73))</f>
        <v/>
      </c>
      <c r="Q73" s="7">
        <f>IF(SUM(H73:K73)=0,"",I73/SUM(H73:K73))</f>
        <v/>
      </c>
      <c r="R73" s="7">
        <f>IF(SUM(H73:K73)=0,"",J73/SUM(H73:K73))</f>
        <v/>
      </c>
      <c r="S73" s="7">
        <f>IF(SUM(H73:K73)=0,"",K73/SUM(H73:K73))</f>
        <v/>
      </c>
      <c r="T73" s="7">
        <f>IF(SUM(L73:O73)=0,"",L73/SUM(L73:O73))</f>
        <v/>
      </c>
      <c r="U73" s="7">
        <f>IF(SUM(L73:O73)=0,"",M73/SUM(L73:O73))</f>
        <v/>
      </c>
      <c r="V73" s="7">
        <f>IF(SUM(L73:O73)=0,"",N73/SUM(L73:O73))</f>
        <v/>
      </c>
      <c r="W73" s="7">
        <f>IF(SUM(L73:O73)=0,"",O73/SUM(L73:O73))</f>
        <v/>
      </c>
    </row>
    <row r="74">
      <c r="A74" t="n">
        <v>86</v>
      </c>
      <c r="B74" t="inlineStr">
        <is>
          <t>That is so cool because it's an opportunity for them to get out and to feel free.</t>
        </is>
      </c>
      <c r="C74" t="n">
        <v>0</v>
      </c>
      <c r="D74" t="n">
        <v>1</v>
      </c>
      <c r="E74" t="n">
        <v>0</v>
      </c>
      <c r="F74" t="n">
        <v>0</v>
      </c>
      <c r="G74" t="b">
        <v>0</v>
      </c>
      <c r="H74" t="n">
        <v>0</v>
      </c>
      <c r="I74" t="n">
        <v>0</v>
      </c>
      <c r="J74" t="n">
        <v>0</v>
      </c>
      <c r="K74" t="n">
        <v>0</v>
      </c>
      <c r="L74" t="n">
        <v>0</v>
      </c>
      <c r="M74" t="n">
        <v>1</v>
      </c>
      <c r="N74" t="n">
        <v>0</v>
      </c>
      <c r="O74" t="n">
        <v>2</v>
      </c>
      <c r="P74" s="7">
        <f>IF(SUM(H74:K74)=0,"",H74/SUM(H74:K74))</f>
        <v/>
      </c>
      <c r="Q74" s="7">
        <f>IF(SUM(H74:K74)=0,"",I74/SUM(H74:K74))</f>
        <v/>
      </c>
      <c r="R74" s="7">
        <f>IF(SUM(H74:K74)=0,"",J74/SUM(H74:K74))</f>
        <v/>
      </c>
      <c r="S74" s="7">
        <f>IF(SUM(H74:K74)=0,"",K74/SUM(H74:K74))</f>
        <v/>
      </c>
      <c r="T74" s="7">
        <f>IF(SUM(L74:O74)=0,"",L74/SUM(L74:O74))</f>
        <v/>
      </c>
      <c r="U74" s="7">
        <f>IF(SUM(L74:O74)=0,"",M74/SUM(L74:O74))</f>
        <v/>
      </c>
      <c r="V74" s="7">
        <f>IF(SUM(L74:O74)=0,"",N74/SUM(L74:O74))</f>
        <v/>
      </c>
      <c r="W74" s="7">
        <f>IF(SUM(L74:O74)=0,"",O74/SUM(L74:O74))</f>
        <v/>
      </c>
    </row>
    <row r="75">
      <c r="A75" t="n">
        <v>87</v>
      </c>
      <c r="B75" t="inlineStr">
        <is>
          <t>The Pere-Marquette Rail Trail didn't happen because of any one person.</t>
        </is>
      </c>
      <c r="C75" t="n">
        <v>0</v>
      </c>
      <c r="D75" t="n">
        <v>1</v>
      </c>
      <c r="E75" t="n">
        <v>0</v>
      </c>
      <c r="F75" t="n">
        <v>0</v>
      </c>
      <c r="G75" t="b">
        <v>0</v>
      </c>
      <c r="H75" t="n">
        <v>0</v>
      </c>
      <c r="I75" t="n">
        <v>0</v>
      </c>
      <c r="J75" t="n">
        <v>0</v>
      </c>
      <c r="K75" t="n">
        <v>0</v>
      </c>
      <c r="L75" t="n">
        <v>1</v>
      </c>
      <c r="M75" t="n">
        <v>0</v>
      </c>
      <c r="N75" t="n">
        <v>2</v>
      </c>
      <c r="O75" t="n">
        <v>0</v>
      </c>
      <c r="P75" s="7">
        <f>IF(SUM(H75:K75)=0,"",H75/SUM(H75:K75))</f>
        <v/>
      </c>
      <c r="Q75" s="7">
        <f>IF(SUM(H75:K75)=0,"",I75/SUM(H75:K75))</f>
        <v/>
      </c>
      <c r="R75" s="7">
        <f>IF(SUM(H75:K75)=0,"",J75/SUM(H75:K75))</f>
        <v/>
      </c>
      <c r="S75" s="7">
        <f>IF(SUM(H75:K75)=0,"",K75/SUM(H75:K75))</f>
        <v/>
      </c>
      <c r="T75" s="7">
        <f>IF(SUM(L75:O75)=0,"",L75/SUM(L75:O75))</f>
        <v/>
      </c>
      <c r="U75" s="7">
        <f>IF(SUM(L75:O75)=0,"",M75/SUM(L75:O75))</f>
        <v/>
      </c>
      <c r="V75" s="7">
        <f>IF(SUM(L75:O75)=0,"",N75/SUM(L75:O75))</f>
        <v/>
      </c>
      <c r="W75" s="7">
        <f>IF(SUM(L75:O75)=0,"",O75/SUM(L75:O75))</f>
        <v/>
      </c>
    </row>
    <row r="76">
      <c r="A76" t="n">
        <v>88</v>
      </c>
      <c r="B76" t="inlineStr">
        <is>
          <t>It really took the entire community.'</t>
        </is>
      </c>
      <c r="C76" t="n">
        <v>0</v>
      </c>
      <c r="D76" t="n">
        <v>1</v>
      </c>
      <c r="E76" t="n">
        <v>0</v>
      </c>
      <c r="F76" t="n">
        <v>0</v>
      </c>
      <c r="G76" t="b">
        <v>0</v>
      </c>
      <c r="H76" t="n">
        <v>0</v>
      </c>
      <c r="I76" t="n">
        <v>0</v>
      </c>
      <c r="J76" t="n">
        <v>0</v>
      </c>
      <c r="K76" t="n">
        <v>0</v>
      </c>
      <c r="L76" t="n">
        <v>1</v>
      </c>
      <c r="M76" t="n">
        <v>0</v>
      </c>
      <c r="N76" t="n">
        <v>2</v>
      </c>
      <c r="O76" t="n">
        <v>0</v>
      </c>
      <c r="P76" s="7">
        <f>IF(SUM(H76:K76)=0,"",H76/SUM(H76:K76))</f>
        <v/>
      </c>
      <c r="Q76" s="7">
        <f>IF(SUM(H76:K76)=0,"",I76/SUM(H76:K76))</f>
        <v/>
      </c>
      <c r="R76" s="7">
        <f>IF(SUM(H76:K76)=0,"",J76/SUM(H76:K76))</f>
        <v/>
      </c>
      <c r="S76" s="7">
        <f>IF(SUM(H76:K76)=0,"",K76/SUM(H76:K76))</f>
        <v/>
      </c>
      <c r="T76" s="7">
        <f>IF(SUM(L76:O76)=0,"",L76/SUM(L76:O76))</f>
        <v/>
      </c>
      <c r="U76" s="7">
        <f>IF(SUM(L76:O76)=0,"",M76/SUM(L76:O76))</f>
        <v/>
      </c>
      <c r="V76" s="7">
        <f>IF(SUM(L76:O76)=0,"",N76/SUM(L76:O76))</f>
        <v/>
      </c>
      <c r="W76" s="7">
        <f>IF(SUM(L76:O76)=0,"",O76/SUM(L76:O76))</f>
        <v/>
      </c>
    </row>
    <row r="77">
      <c r="A77" t="n">
        <v>90</v>
      </c>
      <c r="B77" t="inlineStr">
        <is>
          <t>'What I hope is that the dominant culture in Midland will internalize the mission of making Midland more inclusive and take it upon themselves to keep the ball moving forward.</t>
        </is>
      </c>
      <c r="C77" t="n">
        <v>1</v>
      </c>
      <c r="D77" t="n">
        <v>1</v>
      </c>
      <c r="E77" t="n">
        <v>0</v>
      </c>
      <c r="F77" t="n">
        <v>0</v>
      </c>
      <c r="G77" t="b">
        <v>1</v>
      </c>
      <c r="H77" t="n">
        <v>0</v>
      </c>
      <c r="I77" t="n">
        <v>0</v>
      </c>
      <c r="J77" t="n">
        <v>0</v>
      </c>
      <c r="K77" t="n">
        <v>2</v>
      </c>
      <c r="L77" t="n">
        <v>0</v>
      </c>
      <c r="M77" t="n">
        <v>0</v>
      </c>
      <c r="N77" t="n">
        <v>1</v>
      </c>
      <c r="O77" t="n">
        <v>2</v>
      </c>
      <c r="P77" s="7">
        <f>IF(SUM(H77:K77)=0,"",H77/SUM(H77:K77))</f>
        <v/>
      </c>
      <c r="Q77" s="7">
        <f>IF(SUM(H77:K77)=0,"",I77/SUM(H77:K77))</f>
        <v/>
      </c>
      <c r="R77" s="7">
        <f>IF(SUM(H77:K77)=0,"",J77/SUM(H77:K77))</f>
        <v/>
      </c>
      <c r="S77" s="7">
        <f>IF(SUM(H77:K77)=0,"",K77/SUM(H77:K77))</f>
        <v/>
      </c>
      <c r="T77" s="7">
        <f>IF(SUM(L77:O77)=0,"",L77/SUM(L77:O77))</f>
        <v/>
      </c>
      <c r="U77" s="7">
        <f>IF(SUM(L77:O77)=0,"",M77/SUM(L77:O77))</f>
        <v/>
      </c>
      <c r="V77" s="7">
        <f>IF(SUM(L77:O77)=0,"",N77/SUM(L77:O77))</f>
        <v/>
      </c>
      <c r="W77" s="7">
        <f>IF(SUM(L77:O77)=0,"",O77/SUM(L77:O77))</f>
        <v/>
      </c>
    </row>
    <row r="78">
      <c r="A78" t="n">
        <v>91</v>
      </c>
      <c r="B78" t="inlineStr">
        <is>
          <t>I feel the burden is too much on the minority groups to keep it going…</t>
        </is>
      </c>
      <c r="C78" t="n">
        <v>1</v>
      </c>
      <c r="D78" t="n">
        <v>1</v>
      </c>
      <c r="E78" t="n">
        <v>0</v>
      </c>
      <c r="F78" t="n">
        <v>0</v>
      </c>
      <c r="G78" t="b">
        <v>1</v>
      </c>
      <c r="H78" t="n">
        <v>0</v>
      </c>
      <c r="I78" t="n">
        <v>0</v>
      </c>
      <c r="J78" t="n">
        <v>0</v>
      </c>
      <c r="K78" t="n">
        <v>2</v>
      </c>
      <c r="L78" t="n">
        <v>0</v>
      </c>
      <c r="M78" t="n">
        <v>0</v>
      </c>
      <c r="N78" t="n">
        <v>1</v>
      </c>
      <c r="O78" t="n">
        <v>2</v>
      </c>
      <c r="P78" s="7">
        <f>IF(SUM(H78:K78)=0,"",H78/SUM(H78:K78))</f>
        <v/>
      </c>
      <c r="Q78" s="7">
        <f>IF(SUM(H78:K78)=0,"",I78/SUM(H78:K78))</f>
        <v/>
      </c>
      <c r="R78" s="7">
        <f>IF(SUM(H78:K78)=0,"",J78/SUM(H78:K78))</f>
        <v/>
      </c>
      <c r="S78" s="7">
        <f>IF(SUM(H78:K78)=0,"",K78/SUM(H78:K78))</f>
        <v/>
      </c>
      <c r="T78" s="7">
        <f>IF(SUM(L78:O78)=0,"",L78/SUM(L78:O78))</f>
        <v/>
      </c>
      <c r="U78" s="7">
        <f>IF(SUM(L78:O78)=0,"",M78/SUM(L78:O78))</f>
        <v/>
      </c>
      <c r="V78" s="7">
        <f>IF(SUM(L78:O78)=0,"",N78/SUM(L78:O78))</f>
        <v/>
      </c>
      <c r="W78" s="7">
        <f>IF(SUM(L78:O78)=0,"",O78/SUM(L78:O78))</f>
        <v/>
      </c>
    </row>
    <row r="79">
      <c r="A79" t="n">
        <v>92</v>
      </c>
      <c r="B79" t="inlineStr">
        <is>
          <t>I want our majority culture in Midland to take it upon themselves and say, 'this is important to us.' We need to continue to support the vision of the Midland Area Culture Awareness Coalition. An organization like the Cultural Awareness Coalition is so priceless.</t>
        </is>
      </c>
      <c r="C79" t="n">
        <v>1</v>
      </c>
      <c r="D79" t="n">
        <v>2</v>
      </c>
      <c r="E79" t="n">
        <v>0</v>
      </c>
      <c r="F79" t="n">
        <v>0</v>
      </c>
      <c r="G79" t="b">
        <v>1</v>
      </c>
      <c r="H79" t="n">
        <v>0</v>
      </c>
      <c r="I79" t="n">
        <v>0</v>
      </c>
      <c r="J79" t="n">
        <v>0</v>
      </c>
      <c r="K79" t="n">
        <v>2</v>
      </c>
      <c r="L79" t="n">
        <v>0</v>
      </c>
      <c r="M79" t="n">
        <v>0</v>
      </c>
      <c r="N79" t="n">
        <v>2</v>
      </c>
      <c r="O79" t="n">
        <v>4</v>
      </c>
      <c r="P79" s="7">
        <f>IF(SUM(H79:K79)=0,"",H79/SUM(H79:K79))</f>
        <v/>
      </c>
      <c r="Q79" s="7">
        <f>IF(SUM(H79:K79)=0,"",I79/SUM(H79:K79))</f>
        <v/>
      </c>
      <c r="R79" s="7">
        <f>IF(SUM(H79:K79)=0,"",J79/SUM(H79:K79))</f>
        <v/>
      </c>
      <c r="S79" s="7">
        <f>IF(SUM(H79:K79)=0,"",K79/SUM(H79:K79))</f>
        <v/>
      </c>
      <c r="T79" s="7">
        <f>IF(SUM(L79:O79)=0,"",L79/SUM(L79:O79))</f>
        <v/>
      </c>
      <c r="U79" s="7">
        <f>IF(SUM(L79:O79)=0,"",M79/SUM(L79:O79))</f>
        <v/>
      </c>
      <c r="V79" s="7">
        <f>IF(SUM(L79:O79)=0,"",N79/SUM(L79:O79))</f>
        <v/>
      </c>
      <c r="W79" s="7">
        <f>IF(SUM(L79:O79)=0,"",O79/SUM(L79:O79))</f>
        <v/>
      </c>
    </row>
    <row r="80">
      <c r="A80" t="n">
        <v>93</v>
      </c>
      <c r="B80" t="inlineStr">
        <is>
          <t>I hope this vision and its role become internalized by local government, schools, and the community.</t>
        </is>
      </c>
      <c r="C80" t="n">
        <v>1</v>
      </c>
      <c r="D80" t="n">
        <v>1</v>
      </c>
      <c r="E80" t="n">
        <v>0</v>
      </c>
      <c r="F80" t="n">
        <v>0</v>
      </c>
      <c r="G80" t="b">
        <v>1</v>
      </c>
      <c r="H80" t="n">
        <v>0</v>
      </c>
      <c r="I80" t="n">
        <v>0</v>
      </c>
      <c r="J80" t="n">
        <v>2</v>
      </c>
      <c r="K80" t="n">
        <v>1</v>
      </c>
      <c r="L80" t="n">
        <v>0</v>
      </c>
      <c r="M80" t="n">
        <v>0</v>
      </c>
      <c r="N80" t="n">
        <v>1</v>
      </c>
      <c r="O80" t="n">
        <v>2</v>
      </c>
      <c r="P80" s="7">
        <f>IF(SUM(H80:K80)=0,"",H80/SUM(H80:K80))</f>
        <v/>
      </c>
      <c r="Q80" s="7">
        <f>IF(SUM(H80:K80)=0,"",I80/SUM(H80:K80))</f>
        <v/>
      </c>
      <c r="R80" s="7">
        <f>IF(SUM(H80:K80)=0,"",J80/SUM(H80:K80))</f>
        <v/>
      </c>
      <c r="S80" s="7">
        <f>IF(SUM(H80:K80)=0,"",K80/SUM(H80:K80))</f>
        <v/>
      </c>
      <c r="T80" s="7">
        <f>IF(SUM(L80:O80)=0,"",L80/SUM(L80:O80))</f>
        <v/>
      </c>
      <c r="U80" s="7">
        <f>IF(SUM(L80:O80)=0,"",M80/SUM(L80:O80))</f>
        <v/>
      </c>
      <c r="V80" s="7">
        <f>IF(SUM(L80:O80)=0,"",N80/SUM(L80:O80))</f>
        <v/>
      </c>
      <c r="W80" s="7">
        <f>IF(SUM(L80:O80)=0,"",O80/SUM(L80:O80))</f>
        <v/>
      </c>
    </row>
    <row r="81">
      <c r="A81" t="n">
        <v>94</v>
      </c>
      <c r="B81" t="inlineStr">
        <is>
          <t>What the Cultural Awareness Coalition is doing is exactly what you need to do to create positive and strong communities that can grow and raise children who are global citizens.</t>
        </is>
      </c>
      <c r="C81" t="n">
        <v>1</v>
      </c>
      <c r="D81" t="n">
        <v>2</v>
      </c>
      <c r="E81" t="n">
        <v>0</v>
      </c>
      <c r="F81" t="n">
        <v>0</v>
      </c>
      <c r="G81" t="b">
        <v>1</v>
      </c>
      <c r="H81" t="n">
        <v>0</v>
      </c>
      <c r="I81" t="n">
        <v>0</v>
      </c>
      <c r="J81" t="n">
        <v>0</v>
      </c>
      <c r="K81" t="n">
        <v>2</v>
      </c>
      <c r="L81" t="n">
        <v>0</v>
      </c>
      <c r="M81" t="n">
        <v>0</v>
      </c>
      <c r="N81" t="n">
        <v>2</v>
      </c>
      <c r="O81" t="n">
        <v>4</v>
      </c>
      <c r="P81" s="7">
        <f>IF(SUM(H81:K81)=0,"",H81/SUM(H81:K81))</f>
        <v/>
      </c>
      <c r="Q81" s="7">
        <f>IF(SUM(H81:K81)=0,"",I81/SUM(H81:K81))</f>
        <v/>
      </c>
      <c r="R81" s="7">
        <f>IF(SUM(H81:K81)=0,"",J81/SUM(H81:K81))</f>
        <v/>
      </c>
      <c r="S81" s="7">
        <f>IF(SUM(H81:K81)=0,"",K81/SUM(H81:K81))</f>
        <v/>
      </c>
      <c r="T81" s="7">
        <f>IF(SUM(L81:O81)=0,"",L81/SUM(L81:O81))</f>
        <v/>
      </c>
      <c r="U81" s="7">
        <f>IF(SUM(L81:O81)=0,"",M81/SUM(L81:O81))</f>
        <v/>
      </c>
      <c r="V81" s="7">
        <f>IF(SUM(L81:O81)=0,"",N81/SUM(L81:O81))</f>
        <v/>
      </c>
      <c r="W81" s="7">
        <f>IF(SUM(L81:O81)=0,"",O81/SUM(L81:O81))</f>
        <v/>
      </c>
    </row>
    <row r="82">
      <c r="A82" t="n">
        <v>95</v>
      </c>
      <c r="B82" t="inlineStr">
        <is>
          <t>The benefits are endless.</t>
        </is>
      </c>
      <c r="C82" t="n">
        <v>0</v>
      </c>
      <c r="D82" t="n">
        <v>0</v>
      </c>
      <c r="E82" t="n">
        <v>0</v>
      </c>
      <c r="F82" t="n">
        <v>0</v>
      </c>
      <c r="G82" t="b">
        <v>0</v>
      </c>
      <c r="H82" t="n">
        <v>0</v>
      </c>
      <c r="I82" t="n">
        <v>0</v>
      </c>
      <c r="J82" t="n">
        <v>0</v>
      </c>
      <c r="K82" t="n">
        <v>0</v>
      </c>
      <c r="L82" t="n">
        <v>0</v>
      </c>
      <c r="M82" t="n">
        <v>0</v>
      </c>
      <c r="N82" t="n">
        <v>0</v>
      </c>
      <c r="O82" t="n">
        <v>0</v>
      </c>
      <c r="P82" s="7">
        <f>IF(SUM(H82:K82)=0,"",H82/SUM(H82:K82))</f>
        <v/>
      </c>
      <c r="Q82" s="7">
        <f>IF(SUM(H82:K82)=0,"",I82/SUM(H82:K82))</f>
        <v/>
      </c>
      <c r="R82" s="7">
        <f>IF(SUM(H82:K82)=0,"",J82/SUM(H82:K82))</f>
        <v/>
      </c>
      <c r="S82" s="7">
        <f>IF(SUM(H82:K82)=0,"",K82/SUM(H82:K82))</f>
        <v/>
      </c>
      <c r="T82" s="7">
        <f>IF(SUM(L82:O82)=0,"",L82/SUM(L82:O82))</f>
        <v/>
      </c>
      <c r="U82" s="7">
        <f>IF(SUM(L82:O82)=0,"",M82/SUM(L82:O82))</f>
        <v/>
      </c>
      <c r="V82" s="7">
        <f>IF(SUM(L82:O82)=0,"",N82/SUM(L82:O82))</f>
        <v/>
      </c>
      <c r="W82" s="7">
        <f>IF(SUM(L82:O82)=0,"",O82/SUM(L82:O82))</f>
        <v/>
      </c>
    </row>
    <row r="83">
      <c r="A83" t="n">
        <v>96</v>
      </c>
      <c r="B83" t="inlineStr">
        <is>
          <t>The best way to attract talented people is to build an inclusive community.'</t>
        </is>
      </c>
      <c r="C83" t="n">
        <v>1</v>
      </c>
      <c r="D83" t="n">
        <v>1</v>
      </c>
      <c r="E83" t="n">
        <v>0</v>
      </c>
      <c r="F83" t="n">
        <v>0</v>
      </c>
      <c r="G83" t="b">
        <v>1</v>
      </c>
      <c r="H83" t="n">
        <v>0</v>
      </c>
      <c r="I83" t="n">
        <v>0</v>
      </c>
      <c r="J83" t="n">
        <v>2</v>
      </c>
      <c r="K83" t="n">
        <v>1</v>
      </c>
      <c r="L83" t="n">
        <v>0</v>
      </c>
      <c r="M83" t="n">
        <v>0</v>
      </c>
      <c r="N83" t="n">
        <v>1</v>
      </c>
      <c r="O83" t="n">
        <v>2</v>
      </c>
      <c r="P83" s="7">
        <f>IF(SUM(H83:K83)=0,"",H83/SUM(H83:K83))</f>
        <v/>
      </c>
      <c r="Q83" s="7">
        <f>IF(SUM(H83:K83)=0,"",I83/SUM(H83:K83))</f>
        <v/>
      </c>
      <c r="R83" s="7">
        <f>IF(SUM(H83:K83)=0,"",J83/SUM(H83:K83))</f>
        <v/>
      </c>
      <c r="S83" s="7">
        <f>IF(SUM(H83:K83)=0,"",K83/SUM(H83:K83))</f>
        <v/>
      </c>
      <c r="T83" s="7">
        <f>IF(SUM(L83:O83)=0,"",L83/SUM(L83:O83))</f>
        <v/>
      </c>
      <c r="U83" s="7">
        <f>IF(SUM(L83:O83)=0,"",M83/SUM(L83:O83))</f>
        <v/>
      </c>
      <c r="V83" s="7">
        <f>IF(SUM(L83:O83)=0,"",N83/SUM(L83:O83))</f>
        <v/>
      </c>
      <c r="W83" s="7">
        <f>IF(SUM(L83:O83)=0,"",O83/SUM(L83:O83))</f>
        <v/>
      </c>
    </row>
    <row r="84">
      <c r="A84" t="n">
        <v>98</v>
      </c>
      <c r="B84" t="inlineStr">
        <is>
          <t>Access to Community</t>
        </is>
      </c>
      <c r="C84" t="n">
        <v>0</v>
      </c>
      <c r="D84" t="n">
        <v>1</v>
      </c>
      <c r="E84" t="n">
        <v>0</v>
      </c>
      <c r="F84" t="n">
        <v>0</v>
      </c>
      <c r="G84" t="b">
        <v>0</v>
      </c>
      <c r="H84" t="n">
        <v>0</v>
      </c>
      <c r="I84" t="n">
        <v>0</v>
      </c>
      <c r="J84" t="n">
        <v>0</v>
      </c>
      <c r="K84" t="n">
        <v>0</v>
      </c>
      <c r="L84" t="n">
        <v>0</v>
      </c>
      <c r="M84" t="n">
        <v>0</v>
      </c>
      <c r="N84" t="n">
        <v>1</v>
      </c>
      <c r="O84" t="n">
        <v>2</v>
      </c>
      <c r="P84" s="7">
        <f>IF(SUM(H84:K84)=0,"",H84/SUM(H84:K84))</f>
        <v/>
      </c>
      <c r="Q84" s="7">
        <f>IF(SUM(H84:K84)=0,"",I84/SUM(H84:K84))</f>
        <v/>
      </c>
      <c r="R84" s="7">
        <f>IF(SUM(H84:K84)=0,"",J84/SUM(H84:K84))</f>
        <v/>
      </c>
      <c r="S84" s="7">
        <f>IF(SUM(H84:K84)=0,"",K84/SUM(H84:K84))</f>
        <v/>
      </c>
      <c r="T84" s="7">
        <f>IF(SUM(L84:O84)=0,"",L84/SUM(L84:O84))</f>
        <v/>
      </c>
      <c r="U84" s="7">
        <f>IF(SUM(L84:O84)=0,"",M84/SUM(L84:O84))</f>
        <v/>
      </c>
      <c r="V84" s="7">
        <f>IF(SUM(L84:O84)=0,"",N84/SUM(L84:O84))</f>
        <v/>
      </c>
      <c r="W84" s="7">
        <f>IF(SUM(L84:O84)=0,"",O84/SUM(L84:O84))</f>
        <v/>
      </c>
    </row>
    <row r="85">
      <c r="A85" t="n">
        <v>99</v>
      </c>
      <c r="B85" t="inlineStr">
        <is>
          <t>Changing Restrooms &amp;amp; Changing Places</t>
        </is>
      </c>
      <c r="C85" t="n">
        <v>0</v>
      </c>
      <c r="D85" t="n">
        <v>0</v>
      </c>
      <c r="E85" t="n">
        <v>0</v>
      </c>
      <c r="F85" t="n">
        <v>0</v>
      </c>
      <c r="G85" t="b">
        <v>0</v>
      </c>
      <c r="H85" t="n">
        <v>0</v>
      </c>
      <c r="I85" t="n">
        <v>0</v>
      </c>
      <c r="J85" t="n">
        <v>0</v>
      </c>
      <c r="K85" t="n">
        <v>0</v>
      </c>
      <c r="L85" t="n">
        <v>0</v>
      </c>
      <c r="M85" t="n">
        <v>0</v>
      </c>
      <c r="N85" t="n">
        <v>0</v>
      </c>
      <c r="O85" t="n">
        <v>0</v>
      </c>
      <c r="P85" s="7">
        <f>IF(SUM(H85:K85)=0,"",H85/SUM(H85:K85))</f>
        <v/>
      </c>
      <c r="Q85" s="7">
        <f>IF(SUM(H85:K85)=0,"",I85/SUM(H85:K85))</f>
        <v/>
      </c>
      <c r="R85" s="7">
        <f>IF(SUM(H85:K85)=0,"",J85/SUM(H85:K85))</f>
        <v/>
      </c>
      <c r="S85" s="7">
        <f>IF(SUM(H85:K85)=0,"",K85/SUM(H85:K85))</f>
        <v/>
      </c>
      <c r="T85" s="7">
        <f>IF(SUM(L85:O85)=0,"",L85/SUM(L85:O85))</f>
        <v/>
      </c>
      <c r="U85" s="7">
        <f>IF(SUM(L85:O85)=0,"",M85/SUM(L85:O85))</f>
        <v/>
      </c>
      <c r="V85" s="7">
        <f>IF(SUM(L85:O85)=0,"",N85/SUM(L85:O85))</f>
        <v/>
      </c>
      <c r="W85" s="7">
        <f>IF(SUM(L85:O85)=0,"",O85/SUM(L85:O85))</f>
        <v/>
      </c>
    </row>
    <row r="86">
      <c r="A86" t="n">
        <v>100</v>
      </c>
      <c r="B86" t="inlineStr">
        <is>
          <t>"The Americans with Disabilities Act gives a very basic minimum requirement for an entry into a space and into the restroom.</t>
        </is>
      </c>
      <c r="C86" t="n">
        <v>1</v>
      </c>
      <c r="D86" t="n">
        <v>0</v>
      </c>
      <c r="E86" t="n">
        <v>0</v>
      </c>
      <c r="F86" t="n">
        <v>0</v>
      </c>
      <c r="G86" t="b">
        <v>0</v>
      </c>
      <c r="H86" t="n">
        <v>0</v>
      </c>
      <c r="I86" t="n">
        <v>0</v>
      </c>
      <c r="J86" t="n">
        <v>2</v>
      </c>
      <c r="K86" t="n">
        <v>0</v>
      </c>
      <c r="L86" t="n">
        <v>0</v>
      </c>
      <c r="M86" t="n">
        <v>0</v>
      </c>
      <c r="N86" t="n">
        <v>0</v>
      </c>
      <c r="O86" t="n">
        <v>0</v>
      </c>
      <c r="P86" s="7">
        <f>IF(SUM(H86:K86)=0,"",H86/SUM(H86:K86))</f>
        <v/>
      </c>
      <c r="Q86" s="7">
        <f>IF(SUM(H86:K86)=0,"",I86/SUM(H86:K86))</f>
        <v/>
      </c>
      <c r="R86" s="7">
        <f>IF(SUM(H86:K86)=0,"",J86/SUM(H86:K86))</f>
        <v/>
      </c>
      <c r="S86" s="7">
        <f>IF(SUM(H86:K86)=0,"",K86/SUM(H86:K86))</f>
        <v/>
      </c>
      <c r="T86" s="7">
        <f>IF(SUM(L86:O86)=0,"",L86/SUM(L86:O86))</f>
        <v/>
      </c>
      <c r="U86" s="7">
        <f>IF(SUM(L86:O86)=0,"",M86/SUM(L86:O86))</f>
        <v/>
      </c>
      <c r="V86" s="7">
        <f>IF(SUM(L86:O86)=0,"",N86/SUM(L86:O86))</f>
        <v/>
      </c>
      <c r="W86" s="7">
        <f>IF(SUM(L86:O86)=0,"",O86/SUM(L86:O86))</f>
        <v/>
      </c>
    </row>
    <row r="87">
      <c r="A87" t="n">
        <v>101</v>
      </c>
      <c r="B87" t="inlineStr">
        <is>
          <t>What that person is able to do or not able to do once they're in that space is a big question," said [individual_tag], a mother of a child with accessibility needs.</t>
        </is>
      </c>
      <c r="C87" t="n">
        <v>1</v>
      </c>
      <c r="D87" t="n">
        <v>1</v>
      </c>
      <c r="E87" t="n">
        <v>0</v>
      </c>
      <c r="F87" t="n">
        <v>0</v>
      </c>
      <c r="G87" t="b">
        <v>1</v>
      </c>
      <c r="H87" t="n">
        <v>0</v>
      </c>
      <c r="I87" t="n">
        <v>0</v>
      </c>
      <c r="J87" t="n">
        <v>2</v>
      </c>
      <c r="K87" t="n">
        <v>0</v>
      </c>
      <c r="L87" t="n">
        <v>0</v>
      </c>
      <c r="M87" t="n">
        <v>0</v>
      </c>
      <c r="N87" t="n">
        <v>1</v>
      </c>
      <c r="O87" t="n">
        <v>2</v>
      </c>
      <c r="P87" s="7">
        <f>IF(SUM(H87:K87)=0,"",H87/SUM(H87:K87))</f>
        <v/>
      </c>
      <c r="Q87" s="7">
        <f>IF(SUM(H87:K87)=0,"",I87/SUM(H87:K87))</f>
        <v/>
      </c>
      <c r="R87" s="7">
        <f>IF(SUM(H87:K87)=0,"",J87/SUM(H87:K87))</f>
        <v/>
      </c>
      <c r="S87" s="7">
        <f>IF(SUM(H87:K87)=0,"",K87/SUM(H87:K87))</f>
        <v/>
      </c>
      <c r="T87" s="7">
        <f>IF(SUM(L87:O87)=0,"",L87/SUM(L87:O87))</f>
        <v/>
      </c>
      <c r="U87" s="7">
        <f>IF(SUM(L87:O87)=0,"",M87/SUM(L87:O87))</f>
        <v/>
      </c>
      <c r="V87" s="7">
        <f>IF(SUM(L87:O87)=0,"",N87/SUM(L87:O87))</f>
        <v/>
      </c>
      <c r="W87" s="7">
        <f>IF(SUM(L87:O87)=0,"",O87/SUM(L87:O87))</f>
        <v/>
      </c>
    </row>
    <row r="88">
      <c r="A88" t="n">
        <v>102</v>
      </c>
      <c r="B88" t="inlineStr">
        <is>
          <t>"And this is where Access to Recreation [now known as Access to Community] is getting involved.</t>
        </is>
      </c>
      <c r="C88" t="n">
        <v>1</v>
      </c>
      <c r="D88" t="n">
        <v>1</v>
      </c>
      <c r="E88" t="n">
        <v>0</v>
      </c>
      <c r="F88" t="n">
        <v>0</v>
      </c>
      <c r="G88" t="b">
        <v>1</v>
      </c>
      <c r="H88" t="n">
        <v>0</v>
      </c>
      <c r="I88" t="n">
        <v>0</v>
      </c>
      <c r="J88" t="n">
        <v>2</v>
      </c>
      <c r="K88" t="n">
        <v>1</v>
      </c>
      <c r="L88" t="n">
        <v>0</v>
      </c>
      <c r="M88" t="n">
        <v>0</v>
      </c>
      <c r="N88" t="n">
        <v>1</v>
      </c>
      <c r="O88" t="n">
        <v>2</v>
      </c>
      <c r="P88" s="7">
        <f>IF(SUM(H88:K88)=0,"",H88/SUM(H88:K88))</f>
        <v/>
      </c>
      <c r="Q88" s="7">
        <f>IF(SUM(H88:K88)=0,"",I88/SUM(H88:K88))</f>
        <v/>
      </c>
      <c r="R88" s="7">
        <f>IF(SUM(H88:K88)=0,"",J88/SUM(H88:K88))</f>
        <v/>
      </c>
      <c r="S88" s="7">
        <f>IF(SUM(H88:K88)=0,"",K88/SUM(H88:K88))</f>
        <v/>
      </c>
      <c r="T88" s="7">
        <f>IF(SUM(L88:O88)=0,"",L88/SUM(L88:O88))</f>
        <v/>
      </c>
      <c r="U88" s="7">
        <f>IF(SUM(L88:O88)=0,"",M88/SUM(L88:O88))</f>
        <v/>
      </c>
      <c r="V88" s="7">
        <f>IF(SUM(L88:O88)=0,"",N88/SUM(L88:O88))</f>
        <v/>
      </c>
      <c r="W88" s="7">
        <f>IF(SUM(L88:O88)=0,"",O88/SUM(L88:O88))</f>
        <v/>
      </c>
    </row>
    <row r="89">
      <c r="A89" t="n">
        <v>103</v>
      </c>
      <c r="B89" t="inlineStr">
        <is>
          <t>We're trying to really make it so that the people with the most severe disabilities are served, and everybody else can have better access as well."</t>
        </is>
      </c>
      <c r="C89" t="n">
        <v>1</v>
      </c>
      <c r="D89" t="n">
        <v>2</v>
      </c>
      <c r="E89" t="n">
        <v>0</v>
      </c>
      <c r="F89" t="n">
        <v>0</v>
      </c>
      <c r="G89" t="b">
        <v>1</v>
      </c>
      <c r="H89" t="n">
        <v>0</v>
      </c>
      <c r="I89" t="n">
        <v>0</v>
      </c>
      <c r="J89" t="n">
        <v>1</v>
      </c>
      <c r="K89" t="n">
        <v>2</v>
      </c>
      <c r="L89" t="n">
        <v>0</v>
      </c>
      <c r="M89" t="n">
        <v>0</v>
      </c>
      <c r="N89" t="n">
        <v>2</v>
      </c>
      <c r="O89" t="n">
        <v>4</v>
      </c>
      <c r="P89" s="7">
        <f>IF(SUM(H89:K89)=0,"",H89/SUM(H89:K89))</f>
        <v/>
      </c>
      <c r="Q89" s="7">
        <f>IF(SUM(H89:K89)=0,"",I89/SUM(H89:K89))</f>
        <v/>
      </c>
      <c r="R89" s="7">
        <f>IF(SUM(H89:K89)=0,"",J89/SUM(H89:K89))</f>
        <v/>
      </c>
      <c r="S89" s="7">
        <f>IF(SUM(H89:K89)=0,"",K89/SUM(H89:K89))</f>
        <v/>
      </c>
      <c r="T89" s="7">
        <f>IF(SUM(L89:O89)=0,"",L89/SUM(L89:O89))</f>
        <v/>
      </c>
      <c r="U89" s="7">
        <f>IF(SUM(L89:O89)=0,"",M89/SUM(L89:O89))</f>
        <v/>
      </c>
      <c r="V89" s="7">
        <f>IF(SUM(L89:O89)=0,"",N89/SUM(L89:O89))</f>
        <v/>
      </c>
      <c r="W89" s="7">
        <f>IF(SUM(L89:O89)=0,"",O89/SUM(L89:O89))</f>
        <v/>
      </c>
    </row>
    <row r="90">
      <c r="A90" t="n">
        <v>104</v>
      </c>
      <c r="B90" t="inlineStr">
        <is>
          <t>Through [community_foundation_tag]'s Access to Community Committee, [individual_tag] and others have championed significant changes within Midland County. The vision of Access to Community is to remove barriers and ensure all projects and programs initiated in Midland County are thoughtfully designed to include the unique needs of people with all abilities.</t>
        </is>
      </c>
      <c r="C90" t="n">
        <v>1</v>
      </c>
      <c r="D90" t="n">
        <v>3</v>
      </c>
      <c r="E90" t="n">
        <v>0</v>
      </c>
      <c r="F90" t="n">
        <v>0</v>
      </c>
      <c r="G90" t="b">
        <v>1</v>
      </c>
      <c r="H90" t="n">
        <v>0</v>
      </c>
      <c r="I90" t="n">
        <v>0</v>
      </c>
      <c r="J90" t="n">
        <v>0</v>
      </c>
      <c r="K90" t="n">
        <v>2</v>
      </c>
      <c r="L90" t="n">
        <v>0</v>
      </c>
      <c r="M90" t="n">
        <v>0</v>
      </c>
      <c r="N90" t="n">
        <v>3</v>
      </c>
      <c r="O90" t="n">
        <v>6</v>
      </c>
      <c r="P90" s="7">
        <f>IF(SUM(H90:K90)=0,"",H90/SUM(H90:K90))</f>
        <v/>
      </c>
      <c r="Q90" s="7">
        <f>IF(SUM(H90:K90)=0,"",I90/SUM(H90:K90))</f>
        <v/>
      </c>
      <c r="R90" s="7">
        <f>IF(SUM(H90:K90)=0,"",J90/SUM(H90:K90))</f>
        <v/>
      </c>
      <c r="S90" s="7">
        <f>IF(SUM(H90:K90)=0,"",K90/SUM(H90:K90))</f>
        <v/>
      </c>
      <c r="T90" s="7">
        <f>IF(SUM(L90:O90)=0,"",L90/SUM(L90:O90))</f>
        <v/>
      </c>
      <c r="U90" s="7">
        <f>IF(SUM(L90:O90)=0,"",M90/SUM(L90:O90))</f>
        <v/>
      </c>
      <c r="V90" s="7">
        <f>IF(SUM(L90:O90)=0,"",N90/SUM(L90:O90))</f>
        <v/>
      </c>
      <c r="W90" s="7">
        <f>IF(SUM(L90:O90)=0,"",O90/SUM(L90:O90))</f>
        <v/>
      </c>
    </row>
    <row r="91">
      <c r="A91" t="n">
        <v>105</v>
      </c>
      <c r="B91" t="inlineStr">
        <is>
          <t>It is impossible to engage in this work without all [community_foundation_tag] community systems working in alignment to collaborate around this vision statement.</t>
        </is>
      </c>
      <c r="C91" t="n">
        <v>1</v>
      </c>
      <c r="D91" t="n">
        <v>1</v>
      </c>
      <c r="E91" t="n">
        <v>0</v>
      </c>
      <c r="F91" t="n">
        <v>0</v>
      </c>
      <c r="G91" t="b">
        <v>1</v>
      </c>
      <c r="H91" t="n">
        <v>0</v>
      </c>
      <c r="I91" t="n">
        <v>0</v>
      </c>
      <c r="J91" t="n">
        <v>2</v>
      </c>
      <c r="K91" t="n">
        <v>0</v>
      </c>
      <c r="L91" t="n">
        <v>0</v>
      </c>
      <c r="M91" t="n">
        <v>0</v>
      </c>
      <c r="N91" t="n">
        <v>2</v>
      </c>
      <c r="O91" t="n">
        <v>1</v>
      </c>
      <c r="P91" s="7">
        <f>IF(SUM(H91:K91)=0,"",H91/SUM(H91:K91))</f>
        <v/>
      </c>
      <c r="Q91" s="7">
        <f>IF(SUM(H91:K91)=0,"",I91/SUM(H91:K91))</f>
        <v/>
      </c>
      <c r="R91" s="7">
        <f>IF(SUM(H91:K91)=0,"",J91/SUM(H91:K91))</f>
        <v/>
      </c>
      <c r="S91" s="7">
        <f>IF(SUM(H91:K91)=0,"",K91/SUM(H91:K91))</f>
        <v/>
      </c>
      <c r="T91" s="7">
        <f>IF(SUM(L91:O91)=0,"",L91/SUM(L91:O91))</f>
        <v/>
      </c>
      <c r="U91" s="7">
        <f>IF(SUM(L91:O91)=0,"",M91/SUM(L91:O91))</f>
        <v/>
      </c>
      <c r="V91" s="7">
        <f>IF(SUM(L91:O91)=0,"",N91/SUM(L91:O91))</f>
        <v/>
      </c>
      <c r="W91" s="7">
        <f>IF(SUM(L91:O91)=0,"",O91/SUM(L91:O91))</f>
        <v/>
      </c>
    </row>
    <row r="92">
      <c r="A92" t="n">
        <v>106</v>
      </c>
      <c r="B92" t="inlineStr">
        <is>
          <t>People with disabilities, along with their families and friends, have financial resources that they are more likely to invest in programs and services in communities that are inclusive and accessible.</t>
        </is>
      </c>
      <c r="C92" t="n">
        <v>1</v>
      </c>
      <c r="D92" t="n">
        <v>1</v>
      </c>
      <c r="E92" t="n">
        <v>0</v>
      </c>
      <c r="F92" t="n">
        <v>0</v>
      </c>
      <c r="G92" t="b">
        <v>1</v>
      </c>
      <c r="H92" t="n">
        <v>0</v>
      </c>
      <c r="I92" t="n">
        <v>0</v>
      </c>
      <c r="J92" t="n">
        <v>2</v>
      </c>
      <c r="K92" t="n">
        <v>1</v>
      </c>
      <c r="L92" t="n">
        <v>0</v>
      </c>
      <c r="M92" t="n">
        <v>0</v>
      </c>
      <c r="N92" t="n">
        <v>1</v>
      </c>
      <c r="O92" t="n">
        <v>2</v>
      </c>
      <c r="P92" s="7">
        <f>IF(SUM(H92:K92)=0,"",H92/SUM(H92:K92))</f>
        <v/>
      </c>
      <c r="Q92" s="7">
        <f>IF(SUM(H92:K92)=0,"",I92/SUM(H92:K92))</f>
        <v/>
      </c>
      <c r="R92" s="7">
        <f>IF(SUM(H92:K92)=0,"",J92/SUM(H92:K92))</f>
        <v/>
      </c>
      <c r="S92" s="7">
        <f>IF(SUM(H92:K92)=0,"",K92/SUM(H92:K92))</f>
        <v/>
      </c>
      <c r="T92" s="7">
        <f>IF(SUM(L92:O92)=0,"",L92/SUM(L92:O92))</f>
        <v/>
      </c>
      <c r="U92" s="7">
        <f>IF(SUM(L92:O92)=0,"",M92/SUM(L92:O92))</f>
        <v/>
      </c>
      <c r="V92" s="7">
        <f>IF(SUM(L92:O92)=0,"",N92/SUM(L92:O92))</f>
        <v/>
      </c>
      <c r="W92" s="7">
        <f>IF(SUM(L92:O92)=0,"",O92/SUM(L92:O92))</f>
        <v/>
      </c>
    </row>
    <row r="93">
      <c r="A93" t="n">
        <v>107</v>
      </c>
      <c r="B93" t="inlineStr">
        <is>
          <t>Building a community accessible to all users means that Midland County will not only be accessible to all community members but also become an attractive tourism destination for all.</t>
        </is>
      </c>
      <c r="C93" t="n">
        <v>1</v>
      </c>
      <c r="D93" t="n">
        <v>1</v>
      </c>
      <c r="E93" t="n">
        <v>0</v>
      </c>
      <c r="F93" t="n">
        <v>0</v>
      </c>
      <c r="G93" t="b">
        <v>1</v>
      </c>
      <c r="H93" t="n">
        <v>0</v>
      </c>
      <c r="I93" t="n">
        <v>0</v>
      </c>
      <c r="J93" t="n">
        <v>2</v>
      </c>
      <c r="K93" t="n">
        <v>1</v>
      </c>
      <c r="L93" t="n">
        <v>0</v>
      </c>
      <c r="M93" t="n">
        <v>0</v>
      </c>
      <c r="N93" t="n">
        <v>1</v>
      </c>
      <c r="O93" t="n">
        <v>2</v>
      </c>
      <c r="P93" s="7">
        <f>IF(SUM(H93:K93)=0,"",H93/SUM(H93:K93))</f>
        <v/>
      </c>
      <c r="Q93" s="7">
        <f>IF(SUM(H93:K93)=0,"",I93/SUM(H93:K93))</f>
        <v/>
      </c>
      <c r="R93" s="7">
        <f>IF(SUM(H93:K93)=0,"",J93/SUM(H93:K93))</f>
        <v/>
      </c>
      <c r="S93" s="7">
        <f>IF(SUM(H93:K93)=0,"",K93/SUM(H93:K93))</f>
        <v/>
      </c>
      <c r="T93" s="7">
        <f>IF(SUM(L93:O93)=0,"",L93/SUM(L93:O93))</f>
        <v/>
      </c>
      <c r="U93" s="7">
        <f>IF(SUM(L93:O93)=0,"",M93/SUM(L93:O93))</f>
        <v/>
      </c>
      <c r="V93" s="7">
        <f>IF(SUM(L93:O93)=0,"",N93/SUM(L93:O93))</f>
        <v/>
      </c>
      <c r="W93" s="7">
        <f>IF(SUM(L93:O93)=0,"",O93/SUM(L93:O93))</f>
        <v/>
      </c>
    </row>
    <row r="94">
      <c r="A94" t="n">
        <v>108</v>
      </c>
      <c r="B94" t="inlineStr">
        <is>
          <t>Access to Community has spearheaded Midland's first "Changing Places" restroom facility in Grove Park, set to break ground in 2023. A Changing Places restroom goes beyond the minimum Americans with Disabilities Act (ADA) requirements for accessibility by providing hoists, adult changing tables, and the space for differently-abled people to navigate a public restroom in a dignified way.</t>
        </is>
      </c>
      <c r="C94" t="n">
        <v>1</v>
      </c>
      <c r="D94" t="n">
        <v>1</v>
      </c>
      <c r="E94" t="n">
        <v>0</v>
      </c>
      <c r="F94" t="n">
        <v>0</v>
      </c>
      <c r="G94" t="b">
        <v>1</v>
      </c>
      <c r="H94" t="n">
        <v>0</v>
      </c>
      <c r="I94" t="n">
        <v>0</v>
      </c>
      <c r="J94" t="n">
        <v>2</v>
      </c>
      <c r="K94" t="n">
        <v>1</v>
      </c>
      <c r="L94" t="n">
        <v>0</v>
      </c>
      <c r="M94" t="n">
        <v>0</v>
      </c>
      <c r="N94" t="n">
        <v>1</v>
      </c>
      <c r="O94" t="n">
        <v>2</v>
      </c>
      <c r="P94" s="7">
        <f>IF(SUM(H94:K94)=0,"",H94/SUM(H94:K94))</f>
        <v/>
      </c>
      <c r="Q94" s="7">
        <f>IF(SUM(H94:K94)=0,"",I94/SUM(H94:K94))</f>
        <v/>
      </c>
      <c r="R94" s="7">
        <f>IF(SUM(H94:K94)=0,"",J94/SUM(H94:K94))</f>
        <v/>
      </c>
      <c r="S94" s="7">
        <f>IF(SUM(H94:K94)=0,"",K94/SUM(H94:K94))</f>
        <v/>
      </c>
      <c r="T94" s="7">
        <f>IF(SUM(L94:O94)=0,"",L94/SUM(L94:O94))</f>
        <v/>
      </c>
      <c r="U94" s="7">
        <f>IF(SUM(L94:O94)=0,"",M94/SUM(L94:O94))</f>
        <v/>
      </c>
      <c r="V94" s="7">
        <f>IF(SUM(L94:O94)=0,"",N94/SUM(L94:O94))</f>
        <v/>
      </c>
      <c r="W94" s="7">
        <f>IF(SUM(L94:O94)=0,"",O94/SUM(L94:O94))</f>
        <v/>
      </c>
    </row>
    <row r="95">
      <c r="A95" t="n">
        <v>109</v>
      </c>
      <c r="B95" t="inlineStr">
        <is>
          <t>While ensuring this fundamental right is an accomplishment for advocacy groups, [individual_tag] hopes it will catalyze many future improvements.</t>
        </is>
      </c>
      <c r="C95" t="n">
        <v>0</v>
      </c>
      <c r="D95" t="n">
        <v>0</v>
      </c>
      <c r="E95" t="n">
        <v>0</v>
      </c>
      <c r="F95" t="n">
        <v>0</v>
      </c>
      <c r="G95" t="b">
        <v>0</v>
      </c>
      <c r="H95" t="n">
        <v>0</v>
      </c>
      <c r="I95" t="n">
        <v>0</v>
      </c>
      <c r="J95" t="n">
        <v>0</v>
      </c>
      <c r="K95" t="n">
        <v>0</v>
      </c>
      <c r="L95" t="n">
        <v>0</v>
      </c>
      <c r="M95" t="n">
        <v>0</v>
      </c>
      <c r="N95" t="n">
        <v>0</v>
      </c>
      <c r="O95" t="n">
        <v>0</v>
      </c>
      <c r="P95" s="7">
        <f>IF(SUM(H95:K95)=0,"",H95/SUM(H95:K95))</f>
        <v/>
      </c>
      <c r="Q95" s="7">
        <f>IF(SUM(H95:K95)=0,"",I95/SUM(H95:K95))</f>
        <v/>
      </c>
      <c r="R95" s="7">
        <f>IF(SUM(H95:K95)=0,"",J95/SUM(H95:K95))</f>
        <v/>
      </c>
      <c r="S95" s="7">
        <f>IF(SUM(H95:K95)=0,"",K95/SUM(H95:K95))</f>
        <v/>
      </c>
      <c r="T95" s="7">
        <f>IF(SUM(L95:O95)=0,"",L95/SUM(L95:O95))</f>
        <v/>
      </c>
      <c r="U95" s="7">
        <f>IF(SUM(L95:O95)=0,"",M95/SUM(L95:O95))</f>
        <v/>
      </c>
      <c r="V95" s="7">
        <f>IF(SUM(L95:O95)=0,"",N95/SUM(L95:O95))</f>
        <v/>
      </c>
      <c r="W95" s="7">
        <f>IF(SUM(L95:O95)=0,"",O95/SUM(L95:O95))</f>
        <v/>
      </c>
    </row>
    <row r="96">
      <c r="A96" t="n">
        <v>110</v>
      </c>
      <c r="B96" t="inlineStr">
        <is>
          <t>"I want us to be known as a Small Town America that really did make an exceptional effort to include all people with all abilities and that we have not only the facilities to accommodate our own residents but to accommodate visitors and that we will be a destination for wheelchair users and for people of all abilities who want to go on vacation," said [individual_tag].</t>
        </is>
      </c>
      <c r="C96" t="n">
        <v>1</v>
      </c>
      <c r="D96" t="n">
        <v>1</v>
      </c>
      <c r="E96" t="n">
        <v>0</v>
      </c>
      <c r="F96" t="n">
        <v>0</v>
      </c>
      <c r="G96" t="b">
        <v>1</v>
      </c>
      <c r="H96" t="n">
        <v>0</v>
      </c>
      <c r="I96" t="n">
        <v>0</v>
      </c>
      <c r="J96" t="n">
        <v>2</v>
      </c>
      <c r="K96" t="n">
        <v>1</v>
      </c>
      <c r="L96" t="n">
        <v>1</v>
      </c>
      <c r="M96" t="n">
        <v>0</v>
      </c>
      <c r="N96" t="n">
        <v>0</v>
      </c>
      <c r="O96" t="n">
        <v>2</v>
      </c>
      <c r="P96" s="7">
        <f>IF(SUM(H96:K96)=0,"",H96/SUM(H96:K96))</f>
        <v/>
      </c>
      <c r="Q96" s="7">
        <f>IF(SUM(H96:K96)=0,"",I96/SUM(H96:K96))</f>
        <v/>
      </c>
      <c r="R96" s="7">
        <f>IF(SUM(H96:K96)=0,"",J96/SUM(H96:K96))</f>
        <v/>
      </c>
      <c r="S96" s="7">
        <f>IF(SUM(H96:K96)=0,"",K96/SUM(H96:K96))</f>
        <v/>
      </c>
      <c r="T96" s="7">
        <f>IF(SUM(L96:O96)=0,"",L96/SUM(L96:O96))</f>
        <v/>
      </c>
      <c r="U96" s="7">
        <f>IF(SUM(L96:O96)=0,"",M96/SUM(L96:O96))</f>
        <v/>
      </c>
      <c r="V96" s="7">
        <f>IF(SUM(L96:O96)=0,"",N96/SUM(L96:O96))</f>
        <v/>
      </c>
      <c r="W96" s="7">
        <f>IF(SUM(L96:O96)=0,"",O96/SUM(L96:O96))</f>
        <v/>
      </c>
    </row>
    <row r="97">
      <c r="A97" t="n">
        <v>111</v>
      </c>
      <c r="B97" t="inlineStr">
        <is>
          <t>"With so many resources and with so much education and the socio-economic power, we can do it because we placed a high priority on this.</t>
        </is>
      </c>
      <c r="C97" t="n">
        <v>0</v>
      </c>
      <c r="D97" t="n">
        <v>1</v>
      </c>
      <c r="E97" t="n">
        <v>0</v>
      </c>
      <c r="F97" t="n">
        <v>0</v>
      </c>
      <c r="G97" t="b">
        <v>0</v>
      </c>
      <c r="H97" t="n">
        <v>0</v>
      </c>
      <c r="I97" t="n">
        <v>0</v>
      </c>
      <c r="J97" t="n">
        <v>0</v>
      </c>
      <c r="K97" t="n">
        <v>0</v>
      </c>
      <c r="L97" t="n">
        <v>0</v>
      </c>
      <c r="M97" t="n">
        <v>0</v>
      </c>
      <c r="N97" t="n">
        <v>1</v>
      </c>
      <c r="O97" t="n">
        <v>2</v>
      </c>
      <c r="P97" s="7">
        <f>IF(SUM(H97:K97)=0,"",H97/SUM(H97:K97))</f>
        <v/>
      </c>
      <c r="Q97" s="7">
        <f>IF(SUM(H97:K97)=0,"",I97/SUM(H97:K97))</f>
        <v/>
      </c>
      <c r="R97" s="7">
        <f>IF(SUM(H97:K97)=0,"",J97/SUM(H97:K97))</f>
        <v/>
      </c>
      <c r="S97" s="7">
        <f>IF(SUM(H97:K97)=0,"",K97/SUM(H97:K97))</f>
        <v/>
      </c>
      <c r="T97" s="7">
        <f>IF(SUM(L97:O97)=0,"",L97/SUM(L97:O97))</f>
        <v/>
      </c>
      <c r="U97" s="7">
        <f>IF(SUM(L97:O97)=0,"",M97/SUM(L97:O97))</f>
        <v/>
      </c>
      <c r="V97" s="7">
        <f>IF(SUM(L97:O97)=0,"",N97/SUM(L97:O97))</f>
        <v/>
      </c>
      <c r="W97" s="7">
        <f>IF(SUM(L97:O97)=0,"",O97/SUM(L97:O97))</f>
        <v/>
      </c>
    </row>
    <row r="98">
      <c r="A98" t="n">
        <v>112</v>
      </c>
      <c r="B98" t="inlineStr">
        <is>
          <t>I have this hope and dream because of the people that I have interacted with so far; their deep level of emotional and personal involvement in what happens in the community allows me to literally see that vision coming to life."</t>
        </is>
      </c>
      <c r="C98" t="n">
        <v>0</v>
      </c>
      <c r="D98" t="n">
        <v>1</v>
      </c>
      <c r="E98" t="n">
        <v>0</v>
      </c>
      <c r="F98" t="n">
        <v>0</v>
      </c>
      <c r="G98" t="b">
        <v>0</v>
      </c>
      <c r="H98" t="n">
        <v>0</v>
      </c>
      <c r="I98" t="n">
        <v>0</v>
      </c>
      <c r="J98" t="n">
        <v>0</v>
      </c>
      <c r="K98" t="n">
        <v>0</v>
      </c>
      <c r="L98" t="n">
        <v>2</v>
      </c>
      <c r="M98" t="n">
        <v>0</v>
      </c>
      <c r="N98" t="n">
        <v>0</v>
      </c>
      <c r="O98" t="n">
        <v>1</v>
      </c>
      <c r="P98" s="7">
        <f>IF(SUM(H98:K98)=0,"",H98/SUM(H98:K98))</f>
        <v/>
      </c>
      <c r="Q98" s="7">
        <f>IF(SUM(H98:K98)=0,"",I98/SUM(H98:K98))</f>
        <v/>
      </c>
      <c r="R98" s="7">
        <f>IF(SUM(H98:K98)=0,"",J98/SUM(H98:K98))</f>
        <v/>
      </c>
      <c r="S98" s="7">
        <f>IF(SUM(H98:K98)=0,"",K98/SUM(H98:K98))</f>
        <v/>
      </c>
      <c r="T98" s="7">
        <f>IF(SUM(L98:O98)=0,"",L98/SUM(L98:O98))</f>
        <v/>
      </c>
      <c r="U98" s="7">
        <f>IF(SUM(L98:O98)=0,"",M98/SUM(L98:O98))</f>
        <v/>
      </c>
      <c r="V98" s="7">
        <f>IF(SUM(L98:O98)=0,"",N98/SUM(L98:O98))</f>
        <v/>
      </c>
      <c r="W98" s="7">
        <f>IF(SUM(L98:O98)=0,"",O98/SUM(L98:O98))</f>
        <v/>
      </c>
    </row>
    <row r="99">
      <c r="A99" t="n">
        <v>113</v>
      </c>
      <c r="B99" t="inlineStr">
        <is>
          <t>In 2022 [community_foundation_tag] gifted $125,000 to the Midland Rotary Foundation to support the "Changing Places" restroom facility in Grove Park. This gift is a renewed commitment of [community_foundation_tag]'s support for Grove Park's revitalization. In 2020 [community_foundation_tag] gifted over $115,000 for Grove Park renovations and the development of the Pine Street promenade.</t>
        </is>
      </c>
      <c r="C99" t="n">
        <v>1</v>
      </c>
      <c r="D99" t="n">
        <v>2</v>
      </c>
      <c r="E99" t="n">
        <v>0</v>
      </c>
      <c r="F99" t="n">
        <v>0</v>
      </c>
      <c r="G99" t="b">
        <v>1</v>
      </c>
      <c r="H99" t="n">
        <v>0</v>
      </c>
      <c r="I99" t="n">
        <v>0</v>
      </c>
      <c r="J99" t="n">
        <v>2</v>
      </c>
      <c r="K99" t="n">
        <v>0</v>
      </c>
      <c r="L99" t="n">
        <v>4</v>
      </c>
      <c r="M99" t="n">
        <v>0</v>
      </c>
      <c r="N99" t="n">
        <v>0</v>
      </c>
      <c r="O99" t="n">
        <v>2</v>
      </c>
      <c r="P99" s="7">
        <f>IF(SUM(H99:K99)=0,"",H99/SUM(H99:K99))</f>
        <v/>
      </c>
      <c r="Q99" s="7">
        <f>IF(SUM(H99:K99)=0,"",I99/SUM(H99:K99))</f>
        <v/>
      </c>
      <c r="R99" s="7">
        <f>IF(SUM(H99:K99)=0,"",J99/SUM(H99:K99))</f>
        <v/>
      </c>
      <c r="S99" s="7">
        <f>IF(SUM(H99:K99)=0,"",K99/SUM(H99:K99))</f>
        <v/>
      </c>
      <c r="T99" s="7">
        <f>IF(SUM(L99:O99)=0,"",L99/SUM(L99:O99))</f>
        <v/>
      </c>
      <c r="U99" s="7">
        <f>IF(SUM(L99:O99)=0,"",M99/SUM(L99:O99))</f>
        <v/>
      </c>
      <c r="V99" s="7">
        <f>IF(SUM(L99:O99)=0,"",N99/SUM(L99:O99))</f>
        <v/>
      </c>
      <c r="W99" s="7">
        <f>IF(SUM(L99:O99)=0,"",O99/SUM(L99:O99))</f>
        <v/>
      </c>
    </row>
    <row r="100">
      <c r="A100" t="n">
        <v>114</v>
      </c>
      <c r="B100" t="inlineStr">
        <is>
          <t>"The partnerships between philanthropic efforts of community members made possible by [community_foundation_tag] and public services like Parks and Recreation are significant and vital to understand.</t>
        </is>
      </c>
      <c r="C100" t="n">
        <v>1</v>
      </c>
      <c r="D100" t="n">
        <v>2</v>
      </c>
      <c r="E100" t="n">
        <v>0</v>
      </c>
      <c r="F100" t="n">
        <v>0</v>
      </c>
      <c r="G100" t="b">
        <v>1</v>
      </c>
      <c r="H100" t="n">
        <v>0</v>
      </c>
      <c r="I100" t="n">
        <v>0</v>
      </c>
      <c r="J100" t="n">
        <v>2</v>
      </c>
      <c r="K100" t="n">
        <v>0</v>
      </c>
      <c r="L100" t="n">
        <v>2</v>
      </c>
      <c r="M100" t="n">
        <v>0</v>
      </c>
      <c r="N100" t="n">
        <v>4</v>
      </c>
      <c r="O100" t="n">
        <v>0</v>
      </c>
      <c r="P100" s="7">
        <f>IF(SUM(H100:K100)=0,"",H100/SUM(H100:K100))</f>
        <v/>
      </c>
      <c r="Q100" s="7">
        <f>IF(SUM(H100:K100)=0,"",I100/SUM(H100:K100))</f>
        <v/>
      </c>
      <c r="R100" s="7">
        <f>IF(SUM(H100:K100)=0,"",J100/SUM(H100:K100))</f>
        <v/>
      </c>
      <c r="S100" s="7">
        <f>IF(SUM(H100:K100)=0,"",K100/SUM(H100:K100))</f>
        <v/>
      </c>
      <c r="T100" s="7">
        <f>IF(SUM(L100:O100)=0,"",L100/SUM(L100:O100))</f>
        <v/>
      </c>
      <c r="U100" s="7">
        <f>IF(SUM(L100:O100)=0,"",M100/SUM(L100:O100))</f>
        <v/>
      </c>
      <c r="V100" s="7">
        <f>IF(SUM(L100:O100)=0,"",N100/SUM(L100:O100))</f>
        <v/>
      </c>
      <c r="W100" s="7">
        <f>IF(SUM(L100:O100)=0,"",O100/SUM(L100:O100))</f>
        <v/>
      </c>
    </row>
    <row r="101">
      <c r="A101" t="n">
        <v>115</v>
      </c>
      <c r="B101" t="inlineStr">
        <is>
          <t>Everyone is invited to participate and can engage in very simple ways.</t>
        </is>
      </c>
      <c r="C101" t="n">
        <v>0</v>
      </c>
      <c r="D101" t="n">
        <v>1</v>
      </c>
      <c r="E101" t="n">
        <v>0</v>
      </c>
      <c r="F101" t="n">
        <v>0</v>
      </c>
      <c r="G101" t="b">
        <v>0</v>
      </c>
      <c r="H101" t="n">
        <v>0</v>
      </c>
      <c r="I101" t="n">
        <v>0</v>
      </c>
      <c r="J101" t="n">
        <v>0</v>
      </c>
      <c r="K101" t="n">
        <v>0</v>
      </c>
      <c r="L101" t="n">
        <v>0</v>
      </c>
      <c r="M101" t="n">
        <v>0</v>
      </c>
      <c r="N101" t="n">
        <v>1</v>
      </c>
      <c r="O101" t="n">
        <v>2</v>
      </c>
      <c r="P101" s="7">
        <f>IF(SUM(H101:K101)=0,"",H101/SUM(H101:K101))</f>
        <v/>
      </c>
      <c r="Q101" s="7">
        <f>IF(SUM(H101:K101)=0,"",I101/SUM(H101:K101))</f>
        <v/>
      </c>
      <c r="R101" s="7">
        <f>IF(SUM(H101:K101)=0,"",J101/SUM(H101:K101))</f>
        <v/>
      </c>
      <c r="S101" s="7">
        <f>IF(SUM(H101:K101)=0,"",K101/SUM(H101:K101))</f>
        <v/>
      </c>
      <c r="T101" s="7">
        <f>IF(SUM(L101:O101)=0,"",L101/SUM(L101:O101))</f>
        <v/>
      </c>
      <c r="U101" s="7">
        <f>IF(SUM(L101:O101)=0,"",M101/SUM(L101:O101))</f>
        <v/>
      </c>
      <c r="V101" s="7">
        <f>IF(SUM(L101:O101)=0,"",N101/SUM(L101:O101))</f>
        <v/>
      </c>
      <c r="W101" s="7">
        <f>IF(SUM(L101:O101)=0,"",O101/SUM(L101:O101))</f>
        <v/>
      </c>
    </row>
    <row r="102">
      <c r="A102" t="n">
        <v>116</v>
      </c>
      <c r="B102" t="inlineStr">
        <is>
          <t>As the Director of Public Services for the City of Midland, I have worked with [community_foundation_tag] to seek grant support to build community assets - to create places where people can engage in creating or expanding their community experience; smaller grants to put signage at City Forest, larger grants for Chippewassee Trail expansion, and the Grove promenade," said [individual_tag].</t>
        </is>
      </c>
      <c r="C102" t="n">
        <v>1</v>
      </c>
      <c r="D102" t="n">
        <v>3</v>
      </c>
      <c r="E102" t="n">
        <v>0</v>
      </c>
      <c r="F102" t="n">
        <v>0</v>
      </c>
      <c r="G102" t="b">
        <v>1</v>
      </c>
      <c r="H102" t="n">
        <v>0</v>
      </c>
      <c r="I102" t="n">
        <v>0</v>
      </c>
      <c r="J102" t="n">
        <v>2</v>
      </c>
      <c r="K102" t="n">
        <v>0</v>
      </c>
      <c r="L102" t="n">
        <v>4</v>
      </c>
      <c r="M102" t="n">
        <v>0</v>
      </c>
      <c r="N102" t="n">
        <v>5</v>
      </c>
      <c r="O102" t="n">
        <v>0</v>
      </c>
      <c r="P102" s="7">
        <f>IF(SUM(H102:K102)=0,"",H102/SUM(H102:K102))</f>
        <v/>
      </c>
      <c r="Q102" s="7">
        <f>IF(SUM(H102:K102)=0,"",I102/SUM(H102:K102))</f>
        <v/>
      </c>
      <c r="R102" s="7">
        <f>IF(SUM(H102:K102)=0,"",J102/SUM(H102:K102))</f>
        <v/>
      </c>
      <c r="S102" s="7">
        <f>IF(SUM(H102:K102)=0,"",K102/SUM(H102:K102))</f>
        <v/>
      </c>
      <c r="T102" s="7">
        <f>IF(SUM(L102:O102)=0,"",L102/SUM(L102:O102))</f>
        <v/>
      </c>
      <c r="U102" s="7">
        <f>IF(SUM(L102:O102)=0,"",M102/SUM(L102:O102))</f>
        <v/>
      </c>
      <c r="V102" s="7">
        <f>IF(SUM(L102:O102)=0,"",N102/SUM(L102:O102))</f>
        <v/>
      </c>
      <c r="W102" s="7">
        <f>IF(SUM(L102:O102)=0,"",O102/SUM(L102:O102))</f>
        <v/>
      </c>
    </row>
    <row r="103">
      <c r="A103" t="n">
        <v>117</v>
      </c>
      <c r="B103" t="inlineStr">
        <is>
          <t>"I want to continue to improve accessibility and inclusion in the community. I want spaces and places for everyone!</t>
        </is>
      </c>
      <c r="C103" t="n">
        <v>1</v>
      </c>
      <c r="D103" t="n">
        <v>1</v>
      </c>
      <c r="E103" t="n">
        <v>0</v>
      </c>
      <c r="F103" t="n">
        <v>0</v>
      </c>
      <c r="G103" t="b">
        <v>1</v>
      </c>
      <c r="H103" t="n">
        <v>0</v>
      </c>
      <c r="I103" t="n">
        <v>0</v>
      </c>
      <c r="J103" t="n">
        <v>2</v>
      </c>
      <c r="K103" t="n">
        <v>1</v>
      </c>
      <c r="L103" t="n">
        <v>0</v>
      </c>
      <c r="M103" t="n">
        <v>0</v>
      </c>
      <c r="N103" t="n">
        <v>1</v>
      </c>
      <c r="O103" t="n">
        <v>2</v>
      </c>
      <c r="P103" s="7">
        <f>IF(SUM(H103:K103)=0,"",H103/SUM(H103:K103))</f>
        <v/>
      </c>
      <c r="Q103" s="7">
        <f>IF(SUM(H103:K103)=0,"",I103/SUM(H103:K103))</f>
        <v/>
      </c>
      <c r="R103" s="7">
        <f>IF(SUM(H103:K103)=0,"",J103/SUM(H103:K103))</f>
        <v/>
      </c>
      <c r="S103" s="7">
        <f>IF(SUM(H103:K103)=0,"",K103/SUM(H103:K103))</f>
        <v/>
      </c>
      <c r="T103" s="7">
        <f>IF(SUM(L103:O103)=0,"",L103/SUM(L103:O103))</f>
        <v/>
      </c>
      <c r="U103" s="7">
        <f>IF(SUM(L103:O103)=0,"",M103/SUM(L103:O103))</f>
        <v/>
      </c>
      <c r="V103" s="7">
        <f>IF(SUM(L103:O103)=0,"",N103/SUM(L103:O103))</f>
        <v/>
      </c>
      <c r="W103" s="7">
        <f>IF(SUM(L103:O103)=0,"",O103/SUM(L103:O103))</f>
        <v/>
      </c>
    </row>
    <row r="104">
      <c r="A104" t="n">
        <v>118</v>
      </c>
      <c r="B104" t="inlineStr">
        <is>
          <t>I can play my part in this by ensuring that every improvement we make in our parks system is made through a lens of Universal Design and by looking at how we can best serve the most complex needs through the facilities we build and the programs we offer.</t>
        </is>
      </c>
      <c r="C104" t="n">
        <v>1</v>
      </c>
      <c r="D104" t="n">
        <v>0</v>
      </c>
      <c r="E104" t="n">
        <v>0</v>
      </c>
      <c r="F104" t="n">
        <v>0</v>
      </c>
      <c r="G104" t="b">
        <v>0</v>
      </c>
      <c r="H104" t="n">
        <v>0</v>
      </c>
      <c r="I104" t="n">
        <v>0</v>
      </c>
      <c r="J104" t="n">
        <v>2</v>
      </c>
      <c r="K104" t="n">
        <v>0</v>
      </c>
      <c r="L104" t="n">
        <v>0</v>
      </c>
      <c r="M104" t="n">
        <v>0</v>
      </c>
      <c r="N104" t="n">
        <v>0</v>
      </c>
      <c r="O104" t="n">
        <v>0</v>
      </c>
      <c r="P104" s="7">
        <f>IF(SUM(H104:K104)=0,"",H104/SUM(H104:K104))</f>
        <v/>
      </c>
      <c r="Q104" s="7">
        <f>IF(SUM(H104:K104)=0,"",I104/SUM(H104:K104))</f>
        <v/>
      </c>
      <c r="R104" s="7">
        <f>IF(SUM(H104:K104)=0,"",J104/SUM(H104:K104))</f>
        <v/>
      </c>
      <c r="S104" s="7">
        <f>IF(SUM(H104:K104)=0,"",K104/SUM(H104:K104))</f>
        <v/>
      </c>
      <c r="T104" s="7">
        <f>IF(SUM(L104:O104)=0,"",L104/SUM(L104:O104))</f>
        <v/>
      </c>
      <c r="U104" s="7">
        <f>IF(SUM(L104:O104)=0,"",M104/SUM(L104:O104))</f>
        <v/>
      </c>
      <c r="V104" s="7">
        <f>IF(SUM(L104:O104)=0,"",N104/SUM(L104:O104))</f>
        <v/>
      </c>
      <c r="W104" s="7">
        <f>IF(SUM(L104:O104)=0,"",O104/SUM(L104:O104))</f>
        <v/>
      </c>
    </row>
    <row r="105">
      <c r="A105" t="n">
        <v>119</v>
      </c>
      <c r="B105" t="inlineStr">
        <is>
          <t>And through the partnerships and connections that we make along the way, I have met a wonderful mentor and friend, [individual_tag].</t>
        </is>
      </c>
      <c r="C105" t="n">
        <v>0</v>
      </c>
      <c r="D105" t="n">
        <v>0</v>
      </c>
      <c r="E105" t="n">
        <v>0</v>
      </c>
      <c r="F105" t="n">
        <v>0</v>
      </c>
      <c r="G105" t="b">
        <v>0</v>
      </c>
      <c r="H105" t="n">
        <v>0</v>
      </c>
      <c r="I105" t="n">
        <v>0</v>
      </c>
      <c r="J105" t="n">
        <v>0</v>
      </c>
      <c r="K105" t="n">
        <v>0</v>
      </c>
      <c r="L105" t="n">
        <v>0</v>
      </c>
      <c r="M105" t="n">
        <v>0</v>
      </c>
      <c r="N105" t="n">
        <v>0</v>
      </c>
      <c r="O105" t="n">
        <v>0</v>
      </c>
      <c r="P105" s="7">
        <f>IF(SUM(H105:K105)=0,"",H105/SUM(H105:K105))</f>
        <v/>
      </c>
      <c r="Q105" s="7">
        <f>IF(SUM(H105:K105)=0,"",I105/SUM(H105:K105))</f>
        <v/>
      </c>
      <c r="R105" s="7">
        <f>IF(SUM(H105:K105)=0,"",J105/SUM(H105:K105))</f>
        <v/>
      </c>
      <c r="S105" s="7">
        <f>IF(SUM(H105:K105)=0,"",K105/SUM(H105:K105))</f>
        <v/>
      </c>
      <c r="T105" s="7">
        <f>IF(SUM(L105:O105)=0,"",L105/SUM(L105:O105))</f>
        <v/>
      </c>
      <c r="U105" s="7">
        <f>IF(SUM(L105:O105)=0,"",M105/SUM(L105:O105))</f>
        <v/>
      </c>
      <c r="V105" s="7">
        <f>IF(SUM(L105:O105)=0,"",N105/SUM(L105:O105))</f>
        <v/>
      </c>
      <c r="W105" s="7">
        <f>IF(SUM(L105:O105)=0,"",O105/SUM(L105:O105))</f>
        <v/>
      </c>
    </row>
    <row r="106">
      <c r="A106" t="n">
        <v>120</v>
      </c>
      <c r="B106" t="inlineStr">
        <is>
          <t>She has opened my eyes to a void that I didn't see in our community - we are missing out on a wonderful sector of our population because of the physical barriers that exist throughout Midland.</t>
        </is>
      </c>
      <c r="C106" t="n">
        <v>1</v>
      </c>
      <c r="D106" t="n">
        <v>1</v>
      </c>
      <c r="E106" t="n">
        <v>0</v>
      </c>
      <c r="F106" t="n">
        <v>0</v>
      </c>
      <c r="G106" t="b">
        <v>1</v>
      </c>
      <c r="H106" t="n">
        <v>0</v>
      </c>
      <c r="I106" t="n">
        <v>0</v>
      </c>
      <c r="J106" t="n">
        <v>0</v>
      </c>
      <c r="K106" t="n">
        <v>2</v>
      </c>
      <c r="L106" t="n">
        <v>0</v>
      </c>
      <c r="M106" t="n">
        <v>0</v>
      </c>
      <c r="N106" t="n">
        <v>1</v>
      </c>
      <c r="O106" t="n">
        <v>2</v>
      </c>
      <c r="P106" s="7">
        <f>IF(SUM(H106:K106)=0,"",H106/SUM(H106:K106))</f>
        <v/>
      </c>
      <c r="Q106" s="7">
        <f>IF(SUM(H106:K106)=0,"",I106/SUM(H106:K106))</f>
        <v/>
      </c>
      <c r="R106" s="7">
        <f>IF(SUM(H106:K106)=0,"",J106/SUM(H106:K106))</f>
        <v/>
      </c>
      <c r="S106" s="7">
        <f>IF(SUM(H106:K106)=0,"",K106/SUM(H106:K106))</f>
        <v/>
      </c>
      <c r="T106" s="7">
        <f>IF(SUM(L106:O106)=0,"",L106/SUM(L106:O106))</f>
        <v/>
      </c>
      <c r="U106" s="7">
        <f>IF(SUM(L106:O106)=0,"",M106/SUM(L106:O106))</f>
        <v/>
      </c>
      <c r="V106" s="7">
        <f>IF(SUM(L106:O106)=0,"",N106/SUM(L106:O106))</f>
        <v/>
      </c>
      <c r="W106" s="7">
        <f>IF(SUM(L106:O106)=0,"",O106/SUM(L106:O106))</f>
        <v/>
      </c>
    </row>
    <row r="107">
      <c r="A107" t="n">
        <v>121</v>
      </c>
      <c r="B107" t="inlineStr">
        <is>
          <t>I am ready to work alongside people like [individual_tag] to help bring those barriers down to become a welcoming community where everyone can join in."</t>
        </is>
      </c>
      <c r="C107" t="n">
        <v>1</v>
      </c>
      <c r="D107" t="n">
        <v>1</v>
      </c>
      <c r="E107" t="n">
        <v>0</v>
      </c>
      <c r="F107" t="n">
        <v>0</v>
      </c>
      <c r="G107" t="b">
        <v>1</v>
      </c>
      <c r="H107" t="n">
        <v>0</v>
      </c>
      <c r="I107" t="n">
        <v>0</v>
      </c>
      <c r="J107" t="n">
        <v>0</v>
      </c>
      <c r="K107" t="n">
        <v>2</v>
      </c>
      <c r="L107" t="n">
        <v>0</v>
      </c>
      <c r="M107" t="n">
        <v>0</v>
      </c>
      <c r="N107" t="n">
        <v>1</v>
      </c>
      <c r="O107" t="n">
        <v>2</v>
      </c>
      <c r="P107" s="7">
        <f>IF(SUM(H107:K107)=0,"",H107/SUM(H107:K107))</f>
        <v/>
      </c>
      <c r="Q107" s="7">
        <f>IF(SUM(H107:K107)=0,"",I107/SUM(H107:K107))</f>
        <v/>
      </c>
      <c r="R107" s="7">
        <f>IF(SUM(H107:K107)=0,"",J107/SUM(H107:K107))</f>
        <v/>
      </c>
      <c r="S107" s="7">
        <f>IF(SUM(H107:K107)=0,"",K107/SUM(H107:K107))</f>
        <v/>
      </c>
      <c r="T107" s="7">
        <f>IF(SUM(L107:O107)=0,"",L107/SUM(L107:O107))</f>
        <v/>
      </c>
      <c r="U107" s="7">
        <f>IF(SUM(L107:O107)=0,"",M107/SUM(L107:O107))</f>
        <v/>
      </c>
      <c r="V107" s="7">
        <f>IF(SUM(L107:O107)=0,"",N107/SUM(L107:O107))</f>
        <v/>
      </c>
      <c r="W107" s="7">
        <f>IF(SUM(L107:O107)=0,"",O107/SUM(L107:O107))</f>
        <v/>
      </c>
    </row>
    <row r="108">
      <c r="A108" t="n">
        <v>122</v>
      </c>
      <c r="B108" t="inlineStr">
        <is>
          <t>The work of Access to Community is representative of [community_foundation_tag]'s purpose to help ensure all residents thrive.</t>
        </is>
      </c>
      <c r="C108" t="n">
        <v>1</v>
      </c>
      <c r="D108" t="n">
        <v>1</v>
      </c>
      <c r="E108" t="n">
        <v>0</v>
      </c>
      <c r="F108" t="n">
        <v>0</v>
      </c>
      <c r="G108" t="b">
        <v>1</v>
      </c>
      <c r="H108" t="n">
        <v>0</v>
      </c>
      <c r="I108" t="n">
        <v>0</v>
      </c>
      <c r="J108" t="n">
        <v>0</v>
      </c>
      <c r="K108" t="n">
        <v>2</v>
      </c>
      <c r="L108" t="n">
        <v>0</v>
      </c>
      <c r="M108" t="n">
        <v>0</v>
      </c>
      <c r="N108" t="n">
        <v>1</v>
      </c>
      <c r="O108" t="n">
        <v>2</v>
      </c>
      <c r="P108" s="7">
        <f>IF(SUM(H108:K108)=0,"",H108/SUM(H108:K108))</f>
        <v/>
      </c>
      <c r="Q108" s="7">
        <f>IF(SUM(H108:K108)=0,"",I108/SUM(H108:K108))</f>
        <v/>
      </c>
      <c r="R108" s="7">
        <f>IF(SUM(H108:K108)=0,"",J108/SUM(H108:K108))</f>
        <v/>
      </c>
      <c r="S108" s="7">
        <f>IF(SUM(H108:K108)=0,"",K108/SUM(H108:K108))</f>
        <v/>
      </c>
      <c r="T108" s="7">
        <f>IF(SUM(L108:O108)=0,"",L108/SUM(L108:O108))</f>
        <v/>
      </c>
      <c r="U108" s="7">
        <f>IF(SUM(L108:O108)=0,"",M108/SUM(L108:O108))</f>
        <v/>
      </c>
      <c r="V108" s="7">
        <f>IF(SUM(L108:O108)=0,"",N108/SUM(L108:O108))</f>
        <v/>
      </c>
      <c r="W108" s="7">
        <f>IF(SUM(L108:O108)=0,"",O108/SUM(L108:O108))</f>
        <v/>
      </c>
    </row>
    <row r="109">
      <c r="A109" t="n">
        <v>123</v>
      </c>
      <c r="B109" t="inlineStr">
        <is>
          <t>If you would like to assist in enriching [community_foundation_tag] community in Midland County, contact [community_foundation_tag] directly to explore the best way to support this initiative.</t>
        </is>
      </c>
      <c r="C109" t="n">
        <v>0</v>
      </c>
      <c r="D109" t="n">
        <v>2</v>
      </c>
      <c r="E109" t="n">
        <v>0</v>
      </c>
      <c r="F109" t="n">
        <v>0</v>
      </c>
      <c r="G109" t="b">
        <v>0</v>
      </c>
      <c r="H109" t="n">
        <v>0</v>
      </c>
      <c r="I109" t="n">
        <v>0</v>
      </c>
      <c r="J109" t="n">
        <v>0</v>
      </c>
      <c r="K109" t="n">
        <v>0</v>
      </c>
      <c r="L109" t="n">
        <v>0</v>
      </c>
      <c r="M109" t="n">
        <v>4</v>
      </c>
      <c r="N109" t="n">
        <v>0</v>
      </c>
      <c r="O109" t="n">
        <v>2</v>
      </c>
      <c r="P109" s="7">
        <f>IF(SUM(H109:K109)=0,"",H109/SUM(H109:K109))</f>
        <v/>
      </c>
      <c r="Q109" s="7">
        <f>IF(SUM(H109:K109)=0,"",I109/SUM(H109:K109))</f>
        <v/>
      </c>
      <c r="R109" s="7">
        <f>IF(SUM(H109:K109)=0,"",J109/SUM(H109:K109))</f>
        <v/>
      </c>
      <c r="S109" s="7">
        <f>IF(SUM(H109:K109)=0,"",K109/SUM(H109:K109))</f>
        <v/>
      </c>
      <c r="T109" s="7">
        <f>IF(SUM(L109:O109)=0,"",L109/SUM(L109:O109))</f>
        <v/>
      </c>
      <c r="U109" s="7">
        <f>IF(SUM(L109:O109)=0,"",M109/SUM(L109:O109))</f>
        <v/>
      </c>
      <c r="V109" s="7">
        <f>IF(SUM(L109:O109)=0,"",N109/SUM(L109:O109))</f>
        <v/>
      </c>
      <c r="W109" s="7">
        <f>IF(SUM(L109:O109)=0,"",O109/SUM(L109:O109))</f>
        <v/>
      </c>
    </row>
    <row r="110">
      <c r="A110" t="n">
        <v>124</v>
      </c>
      <c r="B110" t="inlineStr">
        <is>
          <t>You can learn more at</t>
        </is>
      </c>
      <c r="C110" t="n">
        <v>0</v>
      </c>
      <c r="D110" t="n">
        <v>0</v>
      </c>
      <c r="E110" t="n">
        <v>0</v>
      </c>
      <c r="F110" t="n">
        <v>0</v>
      </c>
      <c r="G110" t="b">
        <v>0</v>
      </c>
      <c r="H110" t="n">
        <v>0</v>
      </c>
      <c r="I110" t="n">
        <v>0</v>
      </c>
      <c r="J110" t="n">
        <v>0</v>
      </c>
      <c r="K110" t="n">
        <v>0</v>
      </c>
      <c r="L110" t="n">
        <v>0</v>
      </c>
      <c r="M110" t="n">
        <v>0</v>
      </c>
      <c r="N110" t="n">
        <v>0</v>
      </c>
      <c r="O110" t="n">
        <v>0</v>
      </c>
      <c r="P110" s="7">
        <f>IF(SUM(H110:K110)=0,"",H110/SUM(H110:K110))</f>
        <v/>
      </c>
      <c r="Q110" s="7">
        <f>IF(SUM(H110:K110)=0,"",I110/SUM(H110:K110))</f>
        <v/>
      </c>
      <c r="R110" s="7">
        <f>IF(SUM(H110:K110)=0,"",J110/SUM(H110:K110))</f>
        <v/>
      </c>
      <c r="S110" s="7">
        <f>IF(SUM(H110:K110)=0,"",K110/SUM(H110:K110))</f>
        <v/>
      </c>
      <c r="T110" s="7">
        <f>IF(SUM(L110:O110)=0,"",L110/SUM(L110:O110))</f>
        <v/>
      </c>
      <c r="U110" s="7">
        <f>IF(SUM(L110:O110)=0,"",M110/SUM(L110:O110))</f>
        <v/>
      </c>
      <c r="V110" s="7">
        <f>IF(SUM(L110:O110)=0,"",N110/SUM(L110:O110))</f>
        <v/>
      </c>
      <c r="W110" s="7">
        <f>IF(SUM(L110:O110)=0,"",O110/SUM(L110:O110))</f>
        <v/>
      </c>
    </row>
    <row r="111">
      <c r="A111" t="n">
        <v>129</v>
      </c>
      <c r="B111" t="inlineStr">
        <is>
          <t>"With the endowment model, we love making a gift that will forever help children get the right start."</t>
        </is>
      </c>
      <c r="C111" t="n">
        <v>1</v>
      </c>
      <c r="D111" t="n">
        <v>2</v>
      </c>
      <c r="E111" t="n">
        <v>0</v>
      </c>
      <c r="F111" t="n">
        <v>0</v>
      </c>
      <c r="G111" t="b">
        <v>1</v>
      </c>
      <c r="H111" t="n">
        <v>0</v>
      </c>
      <c r="I111" t="n">
        <v>2</v>
      </c>
      <c r="J111" t="n">
        <v>0</v>
      </c>
      <c r="K111" t="n">
        <v>0</v>
      </c>
      <c r="L111" t="n">
        <v>4</v>
      </c>
      <c r="M111" t="n">
        <v>2</v>
      </c>
      <c r="N111" t="n">
        <v>0</v>
      </c>
      <c r="O111" t="n">
        <v>0</v>
      </c>
      <c r="P111" s="7">
        <f>IF(SUM(H111:K111)=0,"",H111/SUM(H111:K111))</f>
        <v/>
      </c>
      <c r="Q111" s="7">
        <f>IF(SUM(H111:K111)=0,"",I111/SUM(H111:K111))</f>
        <v/>
      </c>
      <c r="R111" s="7">
        <f>IF(SUM(H111:K111)=0,"",J111/SUM(H111:K111))</f>
        <v/>
      </c>
      <c r="S111" s="7">
        <f>IF(SUM(H111:K111)=0,"",K111/SUM(H111:K111))</f>
        <v/>
      </c>
      <c r="T111" s="7">
        <f>IF(SUM(L111:O111)=0,"",L111/SUM(L111:O111))</f>
        <v/>
      </c>
      <c r="U111" s="7">
        <f>IF(SUM(L111:O111)=0,"",M111/SUM(L111:O111))</f>
        <v/>
      </c>
      <c r="V111" s="7">
        <f>IF(SUM(L111:O111)=0,"",N111/SUM(L111:O111))</f>
        <v/>
      </c>
      <c r="W111" s="7">
        <f>IF(SUM(L111:O111)=0,"",O111/SUM(L111:O111))</f>
        <v/>
      </c>
    </row>
    <row r="112">
      <c r="A112" t="n">
        <v>130</v>
      </c>
      <c r="B112" t="inlineStr">
        <is>
          <t>When [individual_tag] attended the Naval Academy, they never dreamed they would settle in Michigan, let alone Midland.</t>
        </is>
      </c>
      <c r="C112" t="n">
        <v>0</v>
      </c>
      <c r="D112" t="n">
        <v>0</v>
      </c>
      <c r="E112" t="n">
        <v>0</v>
      </c>
      <c r="F112" t="n">
        <v>0</v>
      </c>
      <c r="G112" t="b">
        <v>0</v>
      </c>
      <c r="H112" t="n">
        <v>0</v>
      </c>
      <c r="I112" t="n">
        <v>0</v>
      </c>
      <c r="J112" t="n">
        <v>0</v>
      </c>
      <c r="K112" t="n">
        <v>0</v>
      </c>
      <c r="L112" t="n">
        <v>0</v>
      </c>
      <c r="M112" t="n">
        <v>0</v>
      </c>
      <c r="N112" t="n">
        <v>0</v>
      </c>
      <c r="O112" t="n">
        <v>0</v>
      </c>
      <c r="P112" s="7">
        <f>IF(SUM(H112:K112)=0,"",H112/SUM(H112:K112))</f>
        <v/>
      </c>
      <c r="Q112" s="7">
        <f>IF(SUM(H112:K112)=0,"",I112/SUM(H112:K112))</f>
        <v/>
      </c>
      <c r="R112" s="7">
        <f>IF(SUM(H112:K112)=0,"",J112/SUM(H112:K112))</f>
        <v/>
      </c>
      <c r="S112" s="7">
        <f>IF(SUM(H112:K112)=0,"",K112/SUM(H112:K112))</f>
        <v/>
      </c>
      <c r="T112" s="7">
        <f>IF(SUM(L112:O112)=0,"",L112/SUM(L112:O112))</f>
        <v/>
      </c>
      <c r="U112" s="7">
        <f>IF(SUM(L112:O112)=0,"",M112/SUM(L112:O112))</f>
        <v/>
      </c>
      <c r="V112" s="7">
        <f>IF(SUM(L112:O112)=0,"",N112/SUM(L112:O112))</f>
        <v/>
      </c>
      <c r="W112" s="7">
        <f>IF(SUM(L112:O112)=0,"",O112/SUM(L112:O112))</f>
        <v/>
      </c>
    </row>
    <row r="113">
      <c r="A113" t="n">
        <v>131</v>
      </c>
      <c r="B113" t="inlineStr">
        <is>
          <t>"I grew up in Farmington Hills.</t>
        </is>
      </c>
      <c r="C113" t="n">
        <v>0</v>
      </c>
      <c r="D113" t="n">
        <v>0</v>
      </c>
      <c r="E113" t="n">
        <v>0</v>
      </c>
      <c r="F113" t="n">
        <v>0</v>
      </c>
      <c r="G113" t="b">
        <v>0</v>
      </c>
      <c r="H113" t="n">
        <v>0</v>
      </c>
      <c r="I113" t="n">
        <v>0</v>
      </c>
      <c r="J113" t="n">
        <v>0</v>
      </c>
      <c r="K113" t="n">
        <v>0</v>
      </c>
      <c r="L113" t="n">
        <v>0</v>
      </c>
      <c r="M113" t="n">
        <v>0</v>
      </c>
      <c r="N113" t="n">
        <v>0</v>
      </c>
      <c r="O113" t="n">
        <v>0</v>
      </c>
      <c r="P113" s="7">
        <f>IF(SUM(H113:K113)=0,"",H113/SUM(H113:K113))</f>
        <v/>
      </c>
      <c r="Q113" s="7">
        <f>IF(SUM(H113:K113)=0,"",I113/SUM(H113:K113))</f>
        <v/>
      </c>
      <c r="R113" s="7">
        <f>IF(SUM(H113:K113)=0,"",J113/SUM(H113:K113))</f>
        <v/>
      </c>
      <c r="S113" s="7">
        <f>IF(SUM(H113:K113)=0,"",K113/SUM(H113:K113))</f>
        <v/>
      </c>
      <c r="T113" s="7">
        <f>IF(SUM(L113:O113)=0,"",L113/SUM(L113:O113))</f>
        <v/>
      </c>
      <c r="U113" s="7">
        <f>IF(SUM(L113:O113)=0,"",M113/SUM(L113:O113))</f>
        <v/>
      </c>
      <c r="V113" s="7">
        <f>IF(SUM(L113:O113)=0,"",N113/SUM(L113:O113))</f>
        <v/>
      </c>
      <c r="W113" s="7">
        <f>IF(SUM(L113:O113)=0,"",O113/SUM(L113:O113))</f>
        <v/>
      </c>
    </row>
    <row r="114">
      <c r="A114" t="n">
        <v>132</v>
      </c>
      <c r="B114" t="inlineStr">
        <is>
          <t>We came home from college to Farmington for Easter.</t>
        </is>
      </c>
      <c r="C114" t="n">
        <v>0</v>
      </c>
      <c r="D114" t="n">
        <v>0</v>
      </c>
      <c r="E114" t="n">
        <v>0</v>
      </c>
      <c r="F114" t="n">
        <v>0</v>
      </c>
      <c r="G114" t="b">
        <v>0</v>
      </c>
      <c r="H114" t="n">
        <v>0</v>
      </c>
      <c r="I114" t="n">
        <v>0</v>
      </c>
      <c r="J114" t="n">
        <v>0</v>
      </c>
      <c r="K114" t="n">
        <v>0</v>
      </c>
      <c r="L114" t="n">
        <v>0</v>
      </c>
      <c r="M114" t="n">
        <v>0</v>
      </c>
      <c r="N114" t="n">
        <v>0</v>
      </c>
      <c r="O114" t="n">
        <v>0</v>
      </c>
      <c r="P114" s="7">
        <f>IF(SUM(H114:K114)=0,"",H114/SUM(H114:K114))</f>
        <v/>
      </c>
      <c r="Q114" s="7">
        <f>IF(SUM(H114:K114)=0,"",I114/SUM(H114:K114))</f>
        <v/>
      </c>
      <c r="R114" s="7">
        <f>IF(SUM(H114:K114)=0,"",J114/SUM(H114:K114))</f>
        <v/>
      </c>
      <c r="S114" s="7">
        <f>IF(SUM(H114:K114)=0,"",K114/SUM(H114:K114))</f>
        <v/>
      </c>
      <c r="T114" s="7">
        <f>IF(SUM(L114:O114)=0,"",L114/SUM(L114:O114))</f>
        <v/>
      </c>
      <c r="U114" s="7">
        <f>IF(SUM(L114:O114)=0,"",M114/SUM(L114:O114))</f>
        <v/>
      </c>
      <c r="V114" s="7">
        <f>IF(SUM(L114:O114)=0,"",N114/SUM(L114:O114))</f>
        <v/>
      </c>
      <c r="W114" s="7">
        <f>IF(SUM(L114:O114)=0,"",O114/SUM(L114:O114))</f>
        <v/>
      </c>
    </row>
    <row r="115">
      <c r="A115" t="n">
        <v>133</v>
      </c>
      <c r="B115" t="inlineStr">
        <is>
          <t>It was one of those cold 'Michigan Easters.' We were bundled up in our winter coats.</t>
        </is>
      </c>
      <c r="C115" t="n">
        <v>0</v>
      </c>
      <c r="D115" t="n">
        <v>0</v>
      </c>
      <c r="E115" t="n">
        <v>0</v>
      </c>
      <c r="F115" t="n">
        <v>0</v>
      </c>
      <c r="G115" t="b">
        <v>0</v>
      </c>
      <c r="H115" t="n">
        <v>0</v>
      </c>
      <c r="I115" t="n">
        <v>0</v>
      </c>
      <c r="J115" t="n">
        <v>0</v>
      </c>
      <c r="K115" t="n">
        <v>0</v>
      </c>
      <c r="L115" t="n">
        <v>0</v>
      </c>
      <c r="M115" t="n">
        <v>0</v>
      </c>
      <c r="N115" t="n">
        <v>0</v>
      </c>
      <c r="O115" t="n">
        <v>0</v>
      </c>
      <c r="P115" s="7">
        <f>IF(SUM(H115:K115)=0,"",H115/SUM(H115:K115))</f>
        <v/>
      </c>
      <c r="Q115" s="7">
        <f>IF(SUM(H115:K115)=0,"",I115/SUM(H115:K115))</f>
        <v/>
      </c>
      <c r="R115" s="7">
        <f>IF(SUM(H115:K115)=0,"",J115/SUM(H115:K115))</f>
        <v/>
      </c>
      <c r="S115" s="7">
        <f>IF(SUM(H115:K115)=0,"",K115/SUM(H115:K115))</f>
        <v/>
      </c>
      <c r="T115" s="7">
        <f>IF(SUM(L115:O115)=0,"",L115/SUM(L115:O115))</f>
        <v/>
      </c>
      <c r="U115" s="7">
        <f>IF(SUM(L115:O115)=0,"",M115/SUM(L115:O115))</f>
        <v/>
      </c>
      <c r="V115" s="7">
        <f>IF(SUM(L115:O115)=0,"",N115/SUM(L115:O115))</f>
        <v/>
      </c>
      <c r="W115" s="7">
        <f>IF(SUM(L115:O115)=0,"",O115/SUM(L115:O115))</f>
        <v/>
      </c>
    </row>
    <row r="116">
      <c r="A116" t="n">
        <v>134</v>
      </c>
      <c r="B116" t="inlineStr">
        <is>
          <t>Rod said he would never live in Michigan," said [individual_tag] with a smile.</t>
        </is>
      </c>
      <c r="C116" t="n">
        <v>0</v>
      </c>
      <c r="D116" t="n">
        <v>0</v>
      </c>
      <c r="E116" t="n">
        <v>0</v>
      </c>
      <c r="F116" t="n">
        <v>0</v>
      </c>
      <c r="G116" t="b">
        <v>0</v>
      </c>
      <c r="H116" t="n">
        <v>0</v>
      </c>
      <c r="I116" t="n">
        <v>0</v>
      </c>
      <c r="J116" t="n">
        <v>0</v>
      </c>
      <c r="K116" t="n">
        <v>0</v>
      </c>
      <c r="L116" t="n">
        <v>0</v>
      </c>
      <c r="M116" t="n">
        <v>0</v>
      </c>
      <c r="N116" t="n">
        <v>0</v>
      </c>
      <c r="O116" t="n">
        <v>0</v>
      </c>
      <c r="P116" s="7">
        <f>IF(SUM(H116:K116)=0,"",H116/SUM(H116:K116))</f>
        <v/>
      </c>
      <c r="Q116" s="7">
        <f>IF(SUM(H116:K116)=0,"",I116/SUM(H116:K116))</f>
        <v/>
      </c>
      <c r="R116" s="7">
        <f>IF(SUM(H116:K116)=0,"",J116/SUM(H116:K116))</f>
        <v/>
      </c>
      <c r="S116" s="7">
        <f>IF(SUM(H116:K116)=0,"",K116/SUM(H116:K116))</f>
        <v/>
      </c>
      <c r="T116" s="7">
        <f>IF(SUM(L116:O116)=0,"",L116/SUM(L116:O116))</f>
        <v/>
      </c>
      <c r="U116" s="7">
        <f>IF(SUM(L116:O116)=0,"",M116/SUM(L116:O116))</f>
        <v/>
      </c>
      <c r="V116" s="7">
        <f>IF(SUM(L116:O116)=0,"",N116/SUM(L116:O116))</f>
        <v/>
      </c>
      <c r="W116" s="7">
        <f>IF(SUM(L116:O116)=0,"",O116/SUM(L116:O116))</f>
        <v/>
      </c>
    </row>
    <row r="117">
      <c r="A117" t="n">
        <v>135</v>
      </c>
      <c r="B117" t="inlineStr">
        <is>
          <t>[individual_tag] followed, "We were in the military and were really able to explore the world.</t>
        </is>
      </c>
      <c r="C117" t="n">
        <v>0</v>
      </c>
      <c r="D117" t="n">
        <v>0</v>
      </c>
      <c r="E117" t="n">
        <v>0</v>
      </c>
      <c r="F117" t="n">
        <v>0</v>
      </c>
      <c r="G117" t="b">
        <v>0</v>
      </c>
      <c r="H117" t="n">
        <v>0</v>
      </c>
      <c r="I117" t="n">
        <v>0</v>
      </c>
      <c r="J117" t="n">
        <v>0</v>
      </c>
      <c r="K117" t="n">
        <v>0</v>
      </c>
      <c r="L117" t="n">
        <v>0</v>
      </c>
      <c r="M117" t="n">
        <v>0</v>
      </c>
      <c r="N117" t="n">
        <v>0</v>
      </c>
      <c r="O117" t="n">
        <v>0</v>
      </c>
      <c r="P117" s="7">
        <f>IF(SUM(H117:K117)=0,"",H117/SUM(H117:K117))</f>
        <v/>
      </c>
      <c r="Q117" s="7">
        <f>IF(SUM(H117:K117)=0,"",I117/SUM(H117:K117))</f>
        <v/>
      </c>
      <c r="R117" s="7">
        <f>IF(SUM(H117:K117)=0,"",J117/SUM(H117:K117))</f>
        <v/>
      </c>
      <c r="S117" s="7">
        <f>IF(SUM(H117:K117)=0,"",K117/SUM(H117:K117))</f>
        <v/>
      </c>
      <c r="T117" s="7">
        <f>IF(SUM(L117:O117)=0,"",L117/SUM(L117:O117))</f>
        <v/>
      </c>
      <c r="U117" s="7">
        <f>IF(SUM(L117:O117)=0,"",M117/SUM(L117:O117))</f>
        <v/>
      </c>
      <c r="V117" s="7">
        <f>IF(SUM(L117:O117)=0,"",N117/SUM(L117:O117))</f>
        <v/>
      </c>
      <c r="W117" s="7">
        <f>IF(SUM(L117:O117)=0,"",O117/SUM(L117:O117))</f>
        <v/>
      </c>
    </row>
    <row r="118">
      <c r="A118" t="n">
        <v>136</v>
      </c>
      <c r="B118" t="inlineStr">
        <is>
          <t>After exiting the military, I joined SYM Financial, which is headquartered in north central Indiana.</t>
        </is>
      </c>
      <c r="C118" t="n">
        <v>0</v>
      </c>
      <c r="D118" t="n">
        <v>0</v>
      </c>
      <c r="E118" t="n">
        <v>0</v>
      </c>
      <c r="F118" t="n">
        <v>0</v>
      </c>
      <c r="G118" t="b">
        <v>0</v>
      </c>
      <c r="H118" t="n">
        <v>0</v>
      </c>
      <c r="I118" t="n">
        <v>0</v>
      </c>
      <c r="J118" t="n">
        <v>0</v>
      </c>
      <c r="K118" t="n">
        <v>0</v>
      </c>
      <c r="L118" t="n">
        <v>0</v>
      </c>
      <c r="M118" t="n">
        <v>0</v>
      </c>
      <c r="N118" t="n">
        <v>0</v>
      </c>
      <c r="O118" t="n">
        <v>0</v>
      </c>
      <c r="P118" s="7">
        <f>IF(SUM(H118:K118)=0,"",H118/SUM(H118:K118))</f>
        <v/>
      </c>
      <c r="Q118" s="7">
        <f>IF(SUM(H118:K118)=0,"",I118/SUM(H118:K118))</f>
        <v/>
      </c>
      <c r="R118" s="7">
        <f>IF(SUM(H118:K118)=0,"",J118/SUM(H118:K118))</f>
        <v/>
      </c>
      <c r="S118" s="7">
        <f>IF(SUM(H118:K118)=0,"",K118/SUM(H118:K118))</f>
        <v/>
      </c>
      <c r="T118" s="7">
        <f>IF(SUM(L118:O118)=0,"",L118/SUM(L118:O118))</f>
        <v/>
      </c>
      <c r="U118" s="7">
        <f>IF(SUM(L118:O118)=0,"",M118/SUM(L118:O118))</f>
        <v/>
      </c>
      <c r="V118" s="7">
        <f>IF(SUM(L118:O118)=0,"",N118/SUM(L118:O118))</f>
        <v/>
      </c>
      <c r="W118" s="7">
        <f>IF(SUM(L118:O118)=0,"",O118/SUM(L118:O118))</f>
        <v/>
      </c>
    </row>
    <row r="119">
      <c r="A119" t="n">
        <v>137</v>
      </c>
      <c r="B119" t="inlineStr">
        <is>
          <t>SYM did a tremendous amount of business in Midland.</t>
        </is>
      </c>
      <c r="C119" t="n">
        <v>0</v>
      </c>
      <c r="D119" t="n">
        <v>0</v>
      </c>
      <c r="E119" t="n">
        <v>0</v>
      </c>
      <c r="F119" t="n">
        <v>0</v>
      </c>
      <c r="G119" t="b">
        <v>0</v>
      </c>
      <c r="H119" t="n">
        <v>0</v>
      </c>
      <c r="I119" t="n">
        <v>0</v>
      </c>
      <c r="J119" t="n">
        <v>0</v>
      </c>
      <c r="K119" t="n">
        <v>0</v>
      </c>
      <c r="L119" t="n">
        <v>0</v>
      </c>
      <c r="M119" t="n">
        <v>0</v>
      </c>
      <c r="N119" t="n">
        <v>0</v>
      </c>
      <c r="O119" t="n">
        <v>0</v>
      </c>
      <c r="P119" s="7">
        <f>IF(SUM(H119:K119)=0,"",H119/SUM(H119:K119))</f>
        <v/>
      </c>
      <c r="Q119" s="7">
        <f>IF(SUM(H119:K119)=0,"",I119/SUM(H119:K119))</f>
        <v/>
      </c>
      <c r="R119" s="7">
        <f>IF(SUM(H119:K119)=0,"",J119/SUM(H119:K119))</f>
        <v/>
      </c>
      <c r="S119" s="7">
        <f>IF(SUM(H119:K119)=0,"",K119/SUM(H119:K119))</f>
        <v/>
      </c>
      <c r="T119" s="7">
        <f>IF(SUM(L119:O119)=0,"",L119/SUM(L119:O119))</f>
        <v/>
      </c>
      <c r="U119" s="7">
        <f>IF(SUM(L119:O119)=0,"",M119/SUM(L119:O119))</f>
        <v/>
      </c>
      <c r="V119" s="7">
        <f>IF(SUM(L119:O119)=0,"",N119/SUM(L119:O119))</f>
        <v/>
      </c>
      <c r="W119" s="7">
        <f>IF(SUM(L119:O119)=0,"",O119/SUM(L119:O119))</f>
        <v/>
      </c>
    </row>
    <row r="120">
      <c r="A120" t="n">
        <v>138</v>
      </c>
      <c r="B120" t="inlineStr">
        <is>
          <t>I traveled back and forth.</t>
        </is>
      </c>
      <c r="C120" t="n">
        <v>0</v>
      </c>
      <c r="D120" t="n">
        <v>0</v>
      </c>
      <c r="E120" t="n">
        <v>0</v>
      </c>
      <c r="F120" t="n">
        <v>0</v>
      </c>
      <c r="G120" t="b">
        <v>0</v>
      </c>
      <c r="H120" t="n">
        <v>0</v>
      </c>
      <c r="I120" t="n">
        <v>0</v>
      </c>
      <c r="J120" t="n">
        <v>0</v>
      </c>
      <c r="K120" t="n">
        <v>0</v>
      </c>
      <c r="L120" t="n">
        <v>0</v>
      </c>
      <c r="M120" t="n">
        <v>0</v>
      </c>
      <c r="N120" t="n">
        <v>0</v>
      </c>
      <c r="O120" t="n">
        <v>0</v>
      </c>
      <c r="P120" s="7">
        <f>IF(SUM(H120:K120)=0,"",H120/SUM(H120:K120))</f>
        <v/>
      </c>
      <c r="Q120" s="7">
        <f>IF(SUM(H120:K120)=0,"",I120/SUM(H120:K120))</f>
        <v/>
      </c>
      <c r="R120" s="7">
        <f>IF(SUM(H120:K120)=0,"",J120/SUM(H120:K120))</f>
        <v/>
      </c>
      <c r="S120" s="7">
        <f>IF(SUM(H120:K120)=0,"",K120/SUM(H120:K120))</f>
        <v/>
      </c>
      <c r="T120" s="7">
        <f>IF(SUM(L120:O120)=0,"",L120/SUM(L120:O120))</f>
        <v/>
      </c>
      <c r="U120" s="7">
        <f>IF(SUM(L120:O120)=0,"",M120/SUM(L120:O120))</f>
        <v/>
      </c>
      <c r="V120" s="7">
        <f>IF(SUM(L120:O120)=0,"",N120/SUM(L120:O120))</f>
        <v/>
      </c>
      <c r="W120" s="7">
        <f>IF(SUM(L120:O120)=0,"",O120/SUM(L120:O120))</f>
        <v/>
      </c>
    </row>
    <row r="121">
      <c r="A121" t="n">
        <v>139</v>
      </c>
      <c r="B121" t="inlineStr">
        <is>
          <t>A group of us acquired the company in 2006.</t>
        </is>
      </c>
      <c r="C121" t="n">
        <v>0</v>
      </c>
      <c r="D121" t="n">
        <v>0</v>
      </c>
      <c r="E121" t="n">
        <v>0</v>
      </c>
      <c r="F121" t="n">
        <v>0</v>
      </c>
      <c r="G121" t="b">
        <v>0</v>
      </c>
      <c r="H121" t="n">
        <v>0</v>
      </c>
      <c r="I121" t="n">
        <v>0</v>
      </c>
      <c r="J121" t="n">
        <v>0</v>
      </c>
      <c r="K121" t="n">
        <v>0</v>
      </c>
      <c r="L121" t="n">
        <v>0</v>
      </c>
      <c r="M121" t="n">
        <v>0</v>
      </c>
      <c r="N121" t="n">
        <v>0</v>
      </c>
      <c r="O121" t="n">
        <v>0</v>
      </c>
      <c r="P121" s="7">
        <f>IF(SUM(H121:K121)=0,"",H121/SUM(H121:K121))</f>
        <v/>
      </c>
      <c r="Q121" s="7">
        <f>IF(SUM(H121:K121)=0,"",I121/SUM(H121:K121))</f>
        <v/>
      </c>
      <c r="R121" s="7">
        <f>IF(SUM(H121:K121)=0,"",J121/SUM(H121:K121))</f>
        <v/>
      </c>
      <c r="S121" s="7">
        <f>IF(SUM(H121:K121)=0,"",K121/SUM(H121:K121))</f>
        <v/>
      </c>
      <c r="T121" s="7">
        <f>IF(SUM(L121:O121)=0,"",L121/SUM(L121:O121))</f>
        <v/>
      </c>
      <c r="U121" s="7">
        <f>IF(SUM(L121:O121)=0,"",M121/SUM(L121:O121))</f>
        <v/>
      </c>
      <c r="V121" s="7">
        <f>IF(SUM(L121:O121)=0,"",N121/SUM(L121:O121))</f>
        <v/>
      </c>
      <c r="W121" s="7">
        <f>IF(SUM(L121:O121)=0,"",O121/SUM(L121:O121))</f>
        <v/>
      </c>
    </row>
    <row r="122">
      <c r="A122" t="n">
        <v>140</v>
      </c>
      <c r="B122" t="inlineStr">
        <is>
          <t>That opened the door for us to do what we should have been doing - which was living in the community we serve.</t>
        </is>
      </c>
      <c r="C122" t="n">
        <v>1</v>
      </c>
      <c r="D122" t="n">
        <v>1</v>
      </c>
      <c r="E122" t="n">
        <v>0</v>
      </c>
      <c r="F122" t="n">
        <v>0</v>
      </c>
      <c r="G122" t="b">
        <v>1</v>
      </c>
      <c r="H122" t="n">
        <v>2</v>
      </c>
      <c r="I122" t="n">
        <v>0</v>
      </c>
      <c r="J122" t="n">
        <v>0</v>
      </c>
      <c r="K122" t="n">
        <v>0</v>
      </c>
      <c r="L122" t="n">
        <v>2</v>
      </c>
      <c r="M122" t="n">
        <v>0</v>
      </c>
      <c r="N122" t="n">
        <v>1</v>
      </c>
      <c r="O122" t="n">
        <v>0</v>
      </c>
      <c r="P122" s="7">
        <f>IF(SUM(H122:K122)=0,"",H122/SUM(H122:K122))</f>
        <v/>
      </c>
      <c r="Q122" s="7">
        <f>IF(SUM(H122:K122)=0,"",I122/SUM(H122:K122))</f>
        <v/>
      </c>
      <c r="R122" s="7">
        <f>IF(SUM(H122:K122)=0,"",J122/SUM(H122:K122))</f>
        <v/>
      </c>
      <c r="S122" s="7">
        <f>IF(SUM(H122:K122)=0,"",K122/SUM(H122:K122))</f>
        <v/>
      </c>
      <c r="T122" s="7">
        <f>IF(SUM(L122:O122)=0,"",L122/SUM(L122:O122))</f>
        <v/>
      </c>
      <c r="U122" s="7">
        <f>IF(SUM(L122:O122)=0,"",M122/SUM(L122:O122))</f>
        <v/>
      </c>
      <c r="V122" s="7">
        <f>IF(SUM(L122:O122)=0,"",N122/SUM(L122:O122))</f>
        <v/>
      </c>
      <c r="W122" s="7">
        <f>IF(SUM(L122:O122)=0,"",O122/SUM(L122:O122))</f>
        <v/>
      </c>
    </row>
    <row r="123">
      <c r="A123" t="n">
        <v>141</v>
      </c>
      <c r="B123" t="inlineStr">
        <is>
          <t>Our family moved to Midland, and it was great. We loved it and raised our kids here."</t>
        </is>
      </c>
      <c r="C123" t="n">
        <v>1</v>
      </c>
      <c r="D123" t="n">
        <v>1</v>
      </c>
      <c r="E123" t="n">
        <v>0</v>
      </c>
      <c r="F123" t="n">
        <v>0</v>
      </c>
      <c r="G123" t="b">
        <v>1</v>
      </c>
      <c r="H123" t="n">
        <v>2</v>
      </c>
      <c r="I123" t="n">
        <v>0</v>
      </c>
      <c r="J123" t="n">
        <v>0</v>
      </c>
      <c r="K123" t="n">
        <v>0</v>
      </c>
      <c r="L123" t="n">
        <v>2</v>
      </c>
      <c r="M123" t="n">
        <v>0</v>
      </c>
      <c r="N123" t="n">
        <v>1</v>
      </c>
      <c r="O123" t="n">
        <v>0</v>
      </c>
      <c r="P123" s="7">
        <f>IF(SUM(H123:K123)=0,"",H123/SUM(H123:K123))</f>
        <v/>
      </c>
      <c r="Q123" s="7">
        <f>IF(SUM(H123:K123)=0,"",I123/SUM(H123:K123))</f>
        <v/>
      </c>
      <c r="R123" s="7">
        <f>IF(SUM(H123:K123)=0,"",J123/SUM(H123:K123))</f>
        <v/>
      </c>
      <c r="S123" s="7">
        <f>IF(SUM(H123:K123)=0,"",K123/SUM(H123:K123))</f>
        <v/>
      </c>
      <c r="T123" s="7">
        <f>IF(SUM(L123:O123)=0,"",L123/SUM(L123:O123))</f>
        <v/>
      </c>
      <c r="U123" s="7">
        <f>IF(SUM(L123:O123)=0,"",M123/SUM(L123:O123))</f>
        <v/>
      </c>
      <c r="V123" s="7">
        <f>IF(SUM(L123:O123)=0,"",N123/SUM(L123:O123))</f>
        <v/>
      </c>
      <c r="W123" s="7">
        <f>IF(SUM(L123:O123)=0,"",O123/SUM(L123:O123))</f>
        <v/>
      </c>
    </row>
    <row r="124">
      <c r="A124" t="n">
        <v>142</v>
      </c>
      <c r="B124" t="inlineStr">
        <is>
          <t>[individual_tag] strongly emphasized community involvement, even before their children grew into adults.</t>
        </is>
      </c>
      <c r="C124" t="n">
        <v>0</v>
      </c>
      <c r="D124" t="n">
        <v>1</v>
      </c>
      <c r="E124" t="n">
        <v>0</v>
      </c>
      <c r="F124" t="n">
        <v>0</v>
      </c>
      <c r="G124" t="b">
        <v>0</v>
      </c>
      <c r="H124" t="n">
        <v>0</v>
      </c>
      <c r="I124" t="n">
        <v>0</v>
      </c>
      <c r="J124" t="n">
        <v>0</v>
      </c>
      <c r="K124" t="n">
        <v>0</v>
      </c>
      <c r="L124" t="n">
        <v>2</v>
      </c>
      <c r="M124" t="n">
        <v>1</v>
      </c>
      <c r="N124" t="n">
        <v>0</v>
      </c>
      <c r="O124" t="n">
        <v>0</v>
      </c>
      <c r="P124" s="7">
        <f>IF(SUM(H124:K124)=0,"",H124/SUM(H124:K124))</f>
        <v/>
      </c>
      <c r="Q124" s="7">
        <f>IF(SUM(H124:K124)=0,"",I124/SUM(H124:K124))</f>
        <v/>
      </c>
      <c r="R124" s="7">
        <f>IF(SUM(H124:K124)=0,"",J124/SUM(H124:K124))</f>
        <v/>
      </c>
      <c r="S124" s="7">
        <f>IF(SUM(H124:K124)=0,"",K124/SUM(H124:K124))</f>
        <v/>
      </c>
      <c r="T124" s="7">
        <f>IF(SUM(L124:O124)=0,"",L124/SUM(L124:O124))</f>
        <v/>
      </c>
      <c r="U124" s="7">
        <f>IF(SUM(L124:O124)=0,"",M124/SUM(L124:O124))</f>
        <v/>
      </c>
      <c r="V124" s="7">
        <f>IF(SUM(L124:O124)=0,"",N124/SUM(L124:O124))</f>
        <v/>
      </c>
      <c r="W124" s="7">
        <f>IF(SUM(L124:O124)=0,"",O124/SUM(L124:O124))</f>
        <v/>
      </c>
    </row>
    <row r="125">
      <c r="A125" t="n">
        <v>143</v>
      </c>
      <c r="B125" t="inlineStr">
        <is>
          <t>"When the kids were young, we would go ring the bell for Salvation Army.</t>
        </is>
      </c>
      <c r="C125" t="n">
        <v>0</v>
      </c>
      <c r="D125" t="n">
        <v>1</v>
      </c>
      <c r="E125" t="n">
        <v>0</v>
      </c>
      <c r="F125" t="n">
        <v>0</v>
      </c>
      <c r="G125" t="b">
        <v>0</v>
      </c>
      <c r="H125" t="n">
        <v>0</v>
      </c>
      <c r="I125" t="n">
        <v>0</v>
      </c>
      <c r="J125" t="n">
        <v>0</v>
      </c>
      <c r="K125" t="n">
        <v>0</v>
      </c>
      <c r="L125" t="n">
        <v>2</v>
      </c>
      <c r="M125" t="n">
        <v>1</v>
      </c>
      <c r="N125" t="n">
        <v>0</v>
      </c>
      <c r="O125" t="n">
        <v>0</v>
      </c>
      <c r="P125" s="7">
        <f>IF(SUM(H125:K125)=0,"",H125/SUM(H125:K125))</f>
        <v/>
      </c>
      <c r="Q125" s="7">
        <f>IF(SUM(H125:K125)=0,"",I125/SUM(H125:K125))</f>
        <v/>
      </c>
      <c r="R125" s="7">
        <f>IF(SUM(H125:K125)=0,"",J125/SUM(H125:K125))</f>
        <v/>
      </c>
      <c r="S125" s="7">
        <f>IF(SUM(H125:K125)=0,"",K125/SUM(H125:K125))</f>
        <v/>
      </c>
      <c r="T125" s="7">
        <f>IF(SUM(L125:O125)=0,"",L125/SUM(L125:O125))</f>
        <v/>
      </c>
      <c r="U125" s="7">
        <f>IF(SUM(L125:O125)=0,"",M125/SUM(L125:O125))</f>
        <v/>
      </c>
      <c r="V125" s="7">
        <f>IF(SUM(L125:O125)=0,"",N125/SUM(L125:O125))</f>
        <v/>
      </c>
      <c r="W125" s="7">
        <f>IF(SUM(L125:O125)=0,"",O125/SUM(L125:O125))</f>
        <v/>
      </c>
    </row>
    <row r="126">
      <c r="A126" t="n">
        <v>144</v>
      </c>
      <c r="B126" t="inlineStr">
        <is>
          <t>We volunteered time. I volunteered as a coach at the soccer club when our kids were playing," said [individual_tag]. "Eventually, I was connected to [community_foundation_tag]'s Investment Committee, where I could give a bit of my time and talent.</t>
        </is>
      </c>
      <c r="C126" t="n">
        <v>0</v>
      </c>
      <c r="D126" t="n">
        <v>2</v>
      </c>
      <c r="E126" t="n">
        <v>0</v>
      </c>
      <c r="F126" t="n">
        <v>0</v>
      </c>
      <c r="G126" t="b">
        <v>0</v>
      </c>
      <c r="H126" t="n">
        <v>0</v>
      </c>
      <c r="I126" t="n">
        <v>0</v>
      </c>
      <c r="J126" t="n">
        <v>0</v>
      </c>
      <c r="K126" t="n">
        <v>0</v>
      </c>
      <c r="L126" t="n">
        <v>4</v>
      </c>
      <c r="M126" t="n">
        <v>1</v>
      </c>
      <c r="N126" t="n">
        <v>1</v>
      </c>
      <c r="O126" t="n">
        <v>0</v>
      </c>
      <c r="P126" s="7">
        <f>IF(SUM(H126:K126)=0,"",H126/SUM(H126:K126))</f>
        <v/>
      </c>
      <c r="Q126" s="7">
        <f>IF(SUM(H126:K126)=0,"",I126/SUM(H126:K126))</f>
        <v/>
      </c>
      <c r="R126" s="7">
        <f>IF(SUM(H126:K126)=0,"",J126/SUM(H126:K126))</f>
        <v/>
      </c>
      <c r="S126" s="7">
        <f>IF(SUM(H126:K126)=0,"",K126/SUM(H126:K126))</f>
        <v/>
      </c>
      <c r="T126" s="7">
        <f>IF(SUM(L126:O126)=0,"",L126/SUM(L126:O126))</f>
        <v/>
      </c>
      <c r="U126" s="7">
        <f>IF(SUM(L126:O126)=0,"",M126/SUM(L126:O126))</f>
        <v/>
      </c>
      <c r="V126" s="7">
        <f>IF(SUM(L126:O126)=0,"",N126/SUM(L126:O126))</f>
        <v/>
      </c>
      <c r="W126" s="7">
        <f>IF(SUM(L126:O126)=0,"",O126/SUM(L126:O126))</f>
        <v/>
      </c>
    </row>
    <row r="127">
      <c r="A127" t="n">
        <v>145</v>
      </c>
      <c r="B127" t="inlineStr">
        <is>
          <t>That expanded into an opportunity to serve the Board more broadly."</t>
        </is>
      </c>
      <c r="C127" t="n">
        <v>0</v>
      </c>
      <c r="D127" t="n">
        <v>1</v>
      </c>
      <c r="E127" t="n">
        <v>0</v>
      </c>
      <c r="F127" t="n">
        <v>0</v>
      </c>
      <c r="G127" t="b">
        <v>0</v>
      </c>
      <c r="H127" t="n">
        <v>0</v>
      </c>
      <c r="I127" t="n">
        <v>0</v>
      </c>
      <c r="J127" t="n">
        <v>0</v>
      </c>
      <c r="K127" t="n">
        <v>0</v>
      </c>
      <c r="L127" t="n">
        <v>2</v>
      </c>
      <c r="M127" t="n">
        <v>0</v>
      </c>
      <c r="N127" t="n">
        <v>1</v>
      </c>
      <c r="O127" t="n">
        <v>0</v>
      </c>
      <c r="P127" s="7">
        <f>IF(SUM(H127:K127)=0,"",H127/SUM(H127:K127))</f>
        <v/>
      </c>
      <c r="Q127" s="7">
        <f>IF(SUM(H127:K127)=0,"",I127/SUM(H127:K127))</f>
        <v/>
      </c>
      <c r="R127" s="7">
        <f>IF(SUM(H127:K127)=0,"",J127/SUM(H127:K127))</f>
        <v/>
      </c>
      <c r="S127" s="7">
        <f>IF(SUM(H127:K127)=0,"",K127/SUM(H127:K127))</f>
        <v/>
      </c>
      <c r="T127" s="7">
        <f>IF(SUM(L127:O127)=0,"",L127/SUM(L127:O127))</f>
        <v/>
      </c>
      <c r="U127" s="7">
        <f>IF(SUM(L127:O127)=0,"",M127/SUM(L127:O127))</f>
        <v/>
      </c>
      <c r="V127" s="7">
        <f>IF(SUM(L127:O127)=0,"",N127/SUM(L127:O127))</f>
        <v/>
      </c>
      <c r="W127" s="7">
        <f>IF(SUM(L127:O127)=0,"",O127/SUM(L127:O127))</f>
        <v/>
      </c>
    </row>
    <row r="128">
      <c r="A128" t="n">
        <v>146</v>
      </c>
      <c r="B128" t="inlineStr">
        <is>
          <t>"It was [individual_tag] who really introduced us to [community_foundation_tag].</t>
        </is>
      </c>
      <c r="C128" t="n">
        <v>0</v>
      </c>
      <c r="D128" t="n">
        <v>0</v>
      </c>
      <c r="E128" t="n">
        <v>0</v>
      </c>
      <c r="F128" t="n">
        <v>0</v>
      </c>
      <c r="G128" t="b">
        <v>0</v>
      </c>
      <c r="H128" t="n">
        <v>0</v>
      </c>
      <c r="I128" t="n">
        <v>0</v>
      </c>
      <c r="J128" t="n">
        <v>0</v>
      </c>
      <c r="K128" t="n">
        <v>0</v>
      </c>
      <c r="L128" t="n">
        <v>0</v>
      </c>
      <c r="M128" t="n">
        <v>0</v>
      </c>
      <c r="N128" t="n">
        <v>0</v>
      </c>
      <c r="O128" t="n">
        <v>0</v>
      </c>
      <c r="P128" s="7">
        <f>IF(SUM(H128:K128)=0,"",H128/SUM(H128:K128))</f>
        <v/>
      </c>
      <c r="Q128" s="7">
        <f>IF(SUM(H128:K128)=0,"",I128/SUM(H128:K128))</f>
        <v/>
      </c>
      <c r="R128" s="7">
        <f>IF(SUM(H128:K128)=0,"",J128/SUM(H128:K128))</f>
        <v/>
      </c>
      <c r="S128" s="7">
        <f>IF(SUM(H128:K128)=0,"",K128/SUM(H128:K128))</f>
        <v/>
      </c>
      <c r="T128" s="7">
        <f>IF(SUM(L128:O128)=0,"",L128/SUM(L128:O128))</f>
        <v/>
      </c>
      <c r="U128" s="7">
        <f>IF(SUM(L128:O128)=0,"",M128/SUM(L128:O128))</f>
        <v/>
      </c>
      <c r="V128" s="7">
        <f>IF(SUM(L128:O128)=0,"",N128/SUM(L128:O128))</f>
        <v/>
      </c>
      <c r="W128" s="7">
        <f>IF(SUM(L128:O128)=0,"",O128/SUM(L128:O128))</f>
        <v/>
      </c>
    </row>
    <row r="129">
      <c r="A129" t="n">
        <v>147</v>
      </c>
      <c r="B129" t="inlineStr">
        <is>
          <t>I started the Tri-City Kids Triathalon, 'Tri-Kids-Try.'</t>
        </is>
      </c>
      <c r="C129" t="n">
        <v>1</v>
      </c>
      <c r="D129" t="n">
        <v>0</v>
      </c>
      <c r="E129" t="n">
        <v>0</v>
      </c>
      <c r="F129" t="n">
        <v>0</v>
      </c>
      <c r="G129" t="b">
        <v>0</v>
      </c>
      <c r="H129" t="n">
        <v>0</v>
      </c>
      <c r="I129" t="n">
        <v>2</v>
      </c>
      <c r="J129" t="n">
        <v>0</v>
      </c>
      <c r="K129" t="n">
        <v>0</v>
      </c>
      <c r="L129" t="n">
        <v>0</v>
      </c>
      <c r="M129" t="n">
        <v>0</v>
      </c>
      <c r="N129" t="n">
        <v>0</v>
      </c>
      <c r="O129" t="n">
        <v>0</v>
      </c>
      <c r="P129" s="7">
        <f>IF(SUM(H129:K129)=0,"",H129/SUM(H129:K129))</f>
        <v/>
      </c>
      <c r="Q129" s="7">
        <f>IF(SUM(H129:K129)=0,"",I129/SUM(H129:K129))</f>
        <v/>
      </c>
      <c r="R129" s="7">
        <f>IF(SUM(H129:K129)=0,"",J129/SUM(H129:K129))</f>
        <v/>
      </c>
      <c r="S129" s="7">
        <f>IF(SUM(H129:K129)=0,"",K129/SUM(H129:K129))</f>
        <v/>
      </c>
      <c r="T129" s="7">
        <f>IF(SUM(L129:O129)=0,"",L129/SUM(L129:O129))</f>
        <v/>
      </c>
      <c r="U129" s="7">
        <f>IF(SUM(L129:O129)=0,"",M129/SUM(L129:O129))</f>
        <v/>
      </c>
      <c r="V129" s="7">
        <f>IF(SUM(L129:O129)=0,"",N129/SUM(L129:O129))</f>
        <v/>
      </c>
      <c r="W129" s="7">
        <f>IF(SUM(L129:O129)=0,"",O129/SUM(L129:O129))</f>
        <v/>
      </c>
    </row>
    <row r="130">
      <c r="A130" t="n">
        <v>148</v>
      </c>
      <c r="B130" t="inlineStr">
        <is>
          <t>Sharon recommended we connect with [community_foundation_tag] as a way to develop some funds and awareness for the race.</t>
        </is>
      </c>
      <c r="C130" t="n">
        <v>1</v>
      </c>
      <c r="D130" t="n">
        <v>2</v>
      </c>
      <c r="E130" t="n">
        <v>0</v>
      </c>
      <c r="F130" t="n">
        <v>0</v>
      </c>
      <c r="G130" t="b">
        <v>1</v>
      </c>
      <c r="H130" t="n">
        <v>0</v>
      </c>
      <c r="I130" t="n">
        <v>2</v>
      </c>
      <c r="J130" t="n">
        <v>0</v>
      </c>
      <c r="K130" t="n">
        <v>0</v>
      </c>
      <c r="L130" t="n">
        <v>2</v>
      </c>
      <c r="M130" t="n">
        <v>4</v>
      </c>
      <c r="N130" t="n">
        <v>0</v>
      </c>
      <c r="O130" t="n">
        <v>0</v>
      </c>
      <c r="P130" s="7">
        <f>IF(SUM(H130:K130)=0,"",H130/SUM(H130:K130))</f>
        <v/>
      </c>
      <c r="Q130" s="7">
        <f>IF(SUM(H130:K130)=0,"",I130/SUM(H130:K130))</f>
        <v/>
      </c>
      <c r="R130" s="7">
        <f>IF(SUM(H130:K130)=0,"",J130/SUM(H130:K130))</f>
        <v/>
      </c>
      <c r="S130" s="7">
        <f>IF(SUM(H130:K130)=0,"",K130/SUM(H130:K130))</f>
        <v/>
      </c>
      <c r="T130" s="7">
        <f>IF(SUM(L130:O130)=0,"",L130/SUM(L130:O130))</f>
        <v/>
      </c>
      <c r="U130" s="7">
        <f>IF(SUM(L130:O130)=0,"",M130/SUM(L130:O130))</f>
        <v/>
      </c>
      <c r="V130" s="7">
        <f>IF(SUM(L130:O130)=0,"",N130/SUM(L130:O130))</f>
        <v/>
      </c>
      <c r="W130" s="7">
        <f>IF(SUM(L130:O130)=0,"",O130/SUM(L130:O130))</f>
        <v/>
      </c>
    </row>
    <row r="131">
      <c r="A131" t="n">
        <v>149</v>
      </c>
      <c r="B131" t="inlineStr">
        <is>
          <t>Our connection with [community_foundation_tag] really began there," said [individual_tag].</t>
        </is>
      </c>
      <c r="C131" t="n">
        <v>0</v>
      </c>
      <c r="D131" t="n">
        <v>0</v>
      </c>
      <c r="E131" t="n">
        <v>0</v>
      </c>
      <c r="F131" t="n">
        <v>0</v>
      </c>
      <c r="G131" t="b">
        <v>0</v>
      </c>
      <c r="H131" t="n">
        <v>0</v>
      </c>
      <c r="I131" t="n">
        <v>0</v>
      </c>
      <c r="J131" t="n">
        <v>0</v>
      </c>
      <c r="K131" t="n">
        <v>0</v>
      </c>
      <c r="L131" t="n">
        <v>0</v>
      </c>
      <c r="M131" t="n">
        <v>0</v>
      </c>
      <c r="N131" t="n">
        <v>0</v>
      </c>
      <c r="O131" t="n">
        <v>0</v>
      </c>
      <c r="P131" s="7">
        <f>IF(SUM(H131:K131)=0,"",H131/SUM(H131:K131))</f>
        <v/>
      </c>
      <c r="Q131" s="7">
        <f>IF(SUM(H131:K131)=0,"",I131/SUM(H131:K131))</f>
        <v/>
      </c>
      <c r="R131" s="7">
        <f>IF(SUM(H131:K131)=0,"",J131/SUM(H131:K131))</f>
        <v/>
      </c>
      <c r="S131" s="7">
        <f>IF(SUM(H131:K131)=0,"",K131/SUM(H131:K131))</f>
        <v/>
      </c>
      <c r="T131" s="7">
        <f>IF(SUM(L131:O131)=0,"",L131/SUM(L131:O131))</f>
        <v/>
      </c>
      <c r="U131" s="7">
        <f>IF(SUM(L131:O131)=0,"",M131/SUM(L131:O131))</f>
        <v/>
      </c>
      <c r="V131" s="7">
        <f>IF(SUM(L131:O131)=0,"",N131/SUM(L131:O131))</f>
        <v/>
      </c>
      <c r="W131" s="7">
        <f>IF(SUM(L131:O131)=0,"",O131/SUM(L131:O131))</f>
        <v/>
      </c>
    </row>
    <row r="132">
      <c r="A132" t="n">
        <v>150</v>
      </c>
      <c r="B132" t="inlineStr">
        <is>
          <t>The [individual_tag] family's relationship with [community_foundation_tag] continued to grow over time.</t>
        </is>
      </c>
      <c r="C132" t="n">
        <v>0</v>
      </c>
      <c r="D132" t="n">
        <v>1</v>
      </c>
      <c r="E132" t="n">
        <v>0</v>
      </c>
      <c r="F132" t="n">
        <v>0</v>
      </c>
      <c r="G132" t="b">
        <v>0</v>
      </c>
      <c r="H132" t="n">
        <v>0</v>
      </c>
      <c r="I132" t="n">
        <v>0</v>
      </c>
      <c r="J132" t="n">
        <v>0</v>
      </c>
      <c r="K132" t="n">
        <v>0</v>
      </c>
      <c r="L132" t="n">
        <v>1</v>
      </c>
      <c r="M132" t="n">
        <v>2</v>
      </c>
      <c r="N132" t="n">
        <v>0</v>
      </c>
      <c r="O132" t="n">
        <v>0</v>
      </c>
      <c r="P132" s="7">
        <f>IF(SUM(H132:K132)=0,"",H132/SUM(H132:K132))</f>
        <v/>
      </c>
      <c r="Q132" s="7">
        <f>IF(SUM(H132:K132)=0,"",I132/SUM(H132:K132))</f>
        <v/>
      </c>
      <c r="R132" s="7">
        <f>IF(SUM(H132:K132)=0,"",J132/SUM(H132:K132))</f>
        <v/>
      </c>
      <c r="S132" s="7">
        <f>IF(SUM(H132:K132)=0,"",K132/SUM(H132:K132))</f>
        <v/>
      </c>
      <c r="T132" s="7">
        <f>IF(SUM(L132:O132)=0,"",L132/SUM(L132:O132))</f>
        <v/>
      </c>
      <c r="U132" s="7">
        <f>IF(SUM(L132:O132)=0,"",M132/SUM(L132:O132))</f>
        <v/>
      </c>
      <c r="V132" s="7">
        <f>IF(SUM(L132:O132)=0,"",N132/SUM(L132:O132))</f>
        <v/>
      </c>
      <c r="W132" s="7">
        <f>IF(SUM(L132:O132)=0,"",O132/SUM(L132:O132))</f>
        <v/>
      </c>
    </row>
    <row r="133">
      <c r="A133" t="n">
        <v>151</v>
      </c>
      <c r="B133" t="inlineStr">
        <is>
          <t>Their oldest son served as an Officer for the Midland Area Youth Action Council, and [individual_tag] has continued to serve as Foundation Trustee for almost nine years.</t>
        </is>
      </c>
      <c r="C133" t="n">
        <v>0</v>
      </c>
      <c r="D133" t="n">
        <v>1</v>
      </c>
      <c r="E133" t="n">
        <v>0</v>
      </c>
      <c r="F133" t="n">
        <v>0</v>
      </c>
      <c r="G133" t="b">
        <v>0</v>
      </c>
      <c r="H133" t="n">
        <v>0</v>
      </c>
      <c r="I133" t="n">
        <v>0</v>
      </c>
      <c r="J133" t="n">
        <v>0</v>
      </c>
      <c r="K133" t="n">
        <v>0</v>
      </c>
      <c r="L133" t="n">
        <v>2</v>
      </c>
      <c r="M133" t="n">
        <v>0</v>
      </c>
      <c r="N133" t="n">
        <v>1</v>
      </c>
      <c r="O133" t="n">
        <v>0</v>
      </c>
      <c r="P133" s="7">
        <f>IF(SUM(H133:K133)=0,"",H133/SUM(H133:K133))</f>
        <v/>
      </c>
      <c r="Q133" s="7">
        <f>IF(SUM(H133:K133)=0,"",I133/SUM(H133:K133))</f>
        <v/>
      </c>
      <c r="R133" s="7">
        <f>IF(SUM(H133:K133)=0,"",J133/SUM(H133:K133))</f>
        <v/>
      </c>
      <c r="S133" s="7">
        <f>IF(SUM(H133:K133)=0,"",K133/SUM(H133:K133))</f>
        <v/>
      </c>
      <c r="T133" s="7">
        <f>IF(SUM(L133:O133)=0,"",L133/SUM(L133:O133))</f>
        <v/>
      </c>
      <c r="U133" s="7">
        <f>IF(SUM(L133:O133)=0,"",M133/SUM(L133:O133))</f>
        <v/>
      </c>
      <c r="V133" s="7">
        <f>IF(SUM(L133:O133)=0,"",N133/SUM(L133:O133))</f>
        <v/>
      </c>
      <c r="W133" s="7">
        <f>IF(SUM(L133:O133)=0,"",O133/SUM(L133:O133))</f>
        <v/>
      </c>
    </row>
    <row r="134">
      <c r="A134" t="n">
        <v>152</v>
      </c>
      <c r="B134" t="inlineStr">
        <is>
          <t>Throughout [individual_tag]'s tenure, he's taken part in helping to shape the direction of [community_foundation_tag], but one specific event has supported the Coleman's current philanthropic strategy.</t>
        </is>
      </c>
      <c r="C134" t="n">
        <v>1</v>
      </c>
      <c r="D134" t="n">
        <v>2</v>
      </c>
      <c r="E134" t="n">
        <v>0</v>
      </c>
      <c r="F134" t="n">
        <v>0</v>
      </c>
      <c r="G134" t="b">
        <v>1</v>
      </c>
      <c r="H134" t="n">
        <v>2</v>
      </c>
      <c r="I134" t="n">
        <v>0</v>
      </c>
      <c r="J134" t="n">
        <v>0</v>
      </c>
      <c r="K134" t="n">
        <v>0</v>
      </c>
      <c r="L134" t="n">
        <v>2</v>
      </c>
      <c r="M134" t="n">
        <v>2</v>
      </c>
      <c r="N134" t="n">
        <v>2</v>
      </c>
      <c r="O134" t="n">
        <v>0</v>
      </c>
      <c r="P134" s="7">
        <f>IF(SUM(H134:K134)=0,"",H134/SUM(H134:K134))</f>
        <v/>
      </c>
      <c r="Q134" s="7">
        <f>IF(SUM(H134:K134)=0,"",I134/SUM(H134:K134))</f>
        <v/>
      </c>
      <c r="R134" s="7">
        <f>IF(SUM(H134:K134)=0,"",J134/SUM(H134:K134))</f>
        <v/>
      </c>
      <c r="S134" s="7">
        <f>IF(SUM(H134:K134)=0,"",K134/SUM(H134:K134))</f>
        <v/>
      </c>
      <c r="T134" s="7">
        <f>IF(SUM(L134:O134)=0,"",L134/SUM(L134:O134))</f>
        <v/>
      </c>
      <c r="U134" s="7">
        <f>IF(SUM(L134:O134)=0,"",M134/SUM(L134:O134))</f>
        <v/>
      </c>
      <c r="V134" s="7">
        <f>IF(SUM(L134:O134)=0,"",N134/SUM(L134:O134))</f>
        <v/>
      </c>
      <c r="W134" s="7">
        <f>IF(SUM(L134:O134)=0,"",O134/SUM(L134:O134))</f>
        <v/>
      </c>
    </row>
    <row r="135">
      <c r="A135" t="n">
        <v>153</v>
      </c>
      <c r="B135" t="inlineStr">
        <is>
          <t>"Early in my tenure as a board member, I attended the Council of Michigan Foundations' Annual Conference.</t>
        </is>
      </c>
      <c r="C135" t="n">
        <v>0</v>
      </c>
      <c r="D135" t="n">
        <v>1</v>
      </c>
      <c r="E135" t="n">
        <v>0</v>
      </c>
      <c r="F135" t="n">
        <v>0</v>
      </c>
      <c r="G135" t="b">
        <v>0</v>
      </c>
      <c r="H135" t="n">
        <v>0</v>
      </c>
      <c r="I135" t="n">
        <v>0</v>
      </c>
      <c r="J135" t="n">
        <v>0</v>
      </c>
      <c r="K135" t="n">
        <v>0</v>
      </c>
      <c r="L135" t="n">
        <v>1</v>
      </c>
      <c r="M135" t="n">
        <v>0</v>
      </c>
      <c r="N135" t="n">
        <v>2</v>
      </c>
      <c r="O135" t="n">
        <v>0</v>
      </c>
      <c r="P135" s="7">
        <f>IF(SUM(H135:K135)=0,"",H135/SUM(H135:K135))</f>
        <v/>
      </c>
      <c r="Q135" s="7">
        <f>IF(SUM(H135:K135)=0,"",I135/SUM(H135:K135))</f>
        <v/>
      </c>
      <c r="R135" s="7">
        <f>IF(SUM(H135:K135)=0,"",J135/SUM(H135:K135))</f>
        <v/>
      </c>
      <c r="S135" s="7">
        <f>IF(SUM(H135:K135)=0,"",K135/SUM(H135:K135))</f>
        <v/>
      </c>
      <c r="T135" s="7">
        <f>IF(SUM(L135:O135)=0,"",L135/SUM(L135:O135))</f>
        <v/>
      </c>
      <c r="U135" s="7">
        <f>IF(SUM(L135:O135)=0,"",M135/SUM(L135:O135))</f>
        <v/>
      </c>
      <c r="V135" s="7">
        <f>IF(SUM(L135:O135)=0,"",N135/SUM(L135:O135))</f>
        <v/>
      </c>
      <c r="W135" s="7">
        <f>IF(SUM(L135:O135)=0,"",O135/SUM(L135:O135))</f>
        <v/>
      </c>
    </row>
    <row r="136">
      <c r="A136" t="n">
        <v>154</v>
      </c>
      <c r="B136" t="inlineStr">
        <is>
          <t>A group of us heard a gentleman named [individual_tag] speak.</t>
        </is>
      </c>
      <c r="C136" t="n">
        <v>0</v>
      </c>
      <c r="D136" t="n">
        <v>0</v>
      </c>
      <c r="E136" t="n">
        <v>0</v>
      </c>
      <c r="F136" t="n">
        <v>0</v>
      </c>
      <c r="G136" t="b">
        <v>0</v>
      </c>
      <c r="H136" t="n">
        <v>0</v>
      </c>
      <c r="I136" t="n">
        <v>0</v>
      </c>
      <c r="J136" t="n">
        <v>0</v>
      </c>
      <c r="K136" t="n">
        <v>0</v>
      </c>
      <c r="L136" t="n">
        <v>0</v>
      </c>
      <c r="M136" t="n">
        <v>0</v>
      </c>
      <c r="N136" t="n">
        <v>0</v>
      </c>
      <c r="O136" t="n">
        <v>0</v>
      </c>
      <c r="P136" s="7">
        <f>IF(SUM(H136:K136)=0,"",H136/SUM(H136:K136))</f>
        <v/>
      </c>
      <c r="Q136" s="7">
        <f>IF(SUM(H136:K136)=0,"",I136/SUM(H136:K136))</f>
        <v/>
      </c>
      <c r="R136" s="7">
        <f>IF(SUM(H136:K136)=0,"",J136/SUM(H136:K136))</f>
        <v/>
      </c>
      <c r="S136" s="7">
        <f>IF(SUM(H136:K136)=0,"",K136/SUM(H136:K136))</f>
        <v/>
      </c>
      <c r="T136" s="7">
        <f>IF(SUM(L136:O136)=0,"",L136/SUM(L136:O136))</f>
        <v/>
      </c>
      <c r="U136" s="7">
        <f>IF(SUM(L136:O136)=0,"",M136/SUM(L136:O136))</f>
        <v/>
      </c>
      <c r="V136" s="7">
        <f>IF(SUM(L136:O136)=0,"",N136/SUM(L136:O136))</f>
        <v/>
      </c>
      <c r="W136" s="7">
        <f>IF(SUM(L136:O136)=0,"",O136/SUM(L136:O136))</f>
        <v/>
      </c>
    </row>
    <row r="137">
      <c r="A137" t="n">
        <v>155</v>
      </c>
      <c r="B137" t="inlineStr">
        <is>
          <t>He spoke about how children raised in the same community can end up with very different outcomes and how the most precious opportunity to make a change is early in one's life," said [individual_tag]. "We started looking and researching how you can make a difference in someone's life and actually change the future instead of dealing with the issues as they come out. How can we make a change sufficient enough to make the outcome different?</t>
        </is>
      </c>
      <c r="C137" t="n">
        <v>1</v>
      </c>
      <c r="D137" t="n">
        <v>2</v>
      </c>
      <c r="E137" t="n">
        <v>0</v>
      </c>
      <c r="F137" t="n">
        <v>0</v>
      </c>
      <c r="G137" t="b">
        <v>1</v>
      </c>
      <c r="H137" t="n">
        <v>0</v>
      </c>
      <c r="I137" t="n">
        <v>0</v>
      </c>
      <c r="J137" t="n">
        <v>2</v>
      </c>
      <c r="K137" t="n">
        <v>0</v>
      </c>
      <c r="L137" t="n">
        <v>0</v>
      </c>
      <c r="M137" t="n">
        <v>0</v>
      </c>
      <c r="N137" t="n">
        <v>4</v>
      </c>
      <c r="O137" t="n">
        <v>2</v>
      </c>
      <c r="P137" s="7">
        <f>IF(SUM(H137:K137)=0,"",H137/SUM(H137:K137))</f>
        <v/>
      </c>
      <c r="Q137" s="7">
        <f>IF(SUM(H137:K137)=0,"",I137/SUM(H137:K137))</f>
        <v/>
      </c>
      <c r="R137" s="7">
        <f>IF(SUM(H137:K137)=0,"",J137/SUM(H137:K137))</f>
        <v/>
      </c>
      <c r="S137" s="7">
        <f>IF(SUM(H137:K137)=0,"",K137/SUM(H137:K137))</f>
        <v/>
      </c>
      <c r="T137" s="7">
        <f>IF(SUM(L137:O137)=0,"",L137/SUM(L137:O137))</f>
        <v/>
      </c>
      <c r="U137" s="7">
        <f>IF(SUM(L137:O137)=0,"",M137/SUM(L137:O137))</f>
        <v/>
      </c>
      <c r="V137" s="7">
        <f>IF(SUM(L137:O137)=0,"",N137/SUM(L137:O137))</f>
        <v/>
      </c>
      <c r="W137" s="7">
        <f>IF(SUM(L137:O137)=0,"",O137/SUM(L137:O137))</f>
        <v/>
      </c>
    </row>
    <row r="138">
      <c r="A138" t="n">
        <v>156</v>
      </c>
      <c r="B138" t="inlineStr">
        <is>
          <t>That resonated with me."</t>
        </is>
      </c>
      <c r="C138" t="n">
        <v>0</v>
      </c>
      <c r="D138" t="n">
        <v>0</v>
      </c>
      <c r="E138" t="n">
        <v>0</v>
      </c>
      <c r="F138" t="n">
        <v>0</v>
      </c>
      <c r="G138" t="b">
        <v>0</v>
      </c>
      <c r="H138" t="n">
        <v>0</v>
      </c>
      <c r="I138" t="n">
        <v>0</v>
      </c>
      <c r="J138" t="n">
        <v>0</v>
      </c>
      <c r="K138" t="n">
        <v>0</v>
      </c>
      <c r="L138" t="n">
        <v>0</v>
      </c>
      <c r="M138" t="n">
        <v>0</v>
      </c>
      <c r="N138" t="n">
        <v>0</v>
      </c>
      <c r="O138" t="n">
        <v>0</v>
      </c>
      <c r="P138" s="7">
        <f>IF(SUM(H138:K138)=0,"",H138/SUM(H138:K138))</f>
        <v/>
      </c>
      <c r="Q138" s="7">
        <f>IF(SUM(H138:K138)=0,"",I138/SUM(H138:K138))</f>
        <v/>
      </c>
      <c r="R138" s="7">
        <f>IF(SUM(H138:K138)=0,"",J138/SUM(H138:K138))</f>
        <v/>
      </c>
      <c r="S138" s="7">
        <f>IF(SUM(H138:K138)=0,"",K138/SUM(H138:K138))</f>
        <v/>
      </c>
      <c r="T138" s="7">
        <f>IF(SUM(L138:O138)=0,"",L138/SUM(L138:O138))</f>
        <v/>
      </c>
      <c r="U138" s="7">
        <f>IF(SUM(L138:O138)=0,"",M138/SUM(L138:O138))</f>
        <v/>
      </c>
      <c r="V138" s="7">
        <f>IF(SUM(L138:O138)=0,"",N138/SUM(L138:O138))</f>
        <v/>
      </c>
      <c r="W138" s="7">
        <f>IF(SUM(L138:O138)=0,"",O138/SUM(L138:O138))</f>
        <v/>
      </c>
    </row>
    <row r="139">
      <c r="A139" t="n">
        <v>157</v>
      </c>
      <c r="B139" t="inlineStr">
        <is>
          <t>After the conference, the concept of circumstances and their effects on our lives resonated with the [individual_tag].</t>
        </is>
      </c>
      <c r="C139" t="n">
        <v>0</v>
      </c>
      <c r="D139" t="n">
        <v>0</v>
      </c>
      <c r="E139" t="n">
        <v>0</v>
      </c>
      <c r="F139" t="n">
        <v>0</v>
      </c>
      <c r="G139" t="b">
        <v>0</v>
      </c>
      <c r="H139" t="n">
        <v>0</v>
      </c>
      <c r="I139" t="n">
        <v>0</v>
      </c>
      <c r="J139" t="n">
        <v>0</v>
      </c>
      <c r="K139" t="n">
        <v>0</v>
      </c>
      <c r="L139" t="n">
        <v>0</v>
      </c>
      <c r="M139" t="n">
        <v>0</v>
      </c>
      <c r="N139" t="n">
        <v>0</v>
      </c>
      <c r="O139" t="n">
        <v>0</v>
      </c>
      <c r="P139" s="7">
        <f>IF(SUM(H139:K139)=0,"",H139/SUM(H139:K139))</f>
        <v/>
      </c>
      <c r="Q139" s="7">
        <f>IF(SUM(H139:K139)=0,"",I139/SUM(H139:K139))</f>
        <v/>
      </c>
      <c r="R139" s="7">
        <f>IF(SUM(H139:K139)=0,"",J139/SUM(H139:K139))</f>
        <v/>
      </c>
      <c r="S139" s="7">
        <f>IF(SUM(H139:K139)=0,"",K139/SUM(H139:K139))</f>
        <v/>
      </c>
      <c r="T139" s="7">
        <f>IF(SUM(L139:O139)=0,"",L139/SUM(L139:O139))</f>
        <v/>
      </c>
      <c r="U139" s="7">
        <f>IF(SUM(L139:O139)=0,"",M139/SUM(L139:O139))</f>
        <v/>
      </c>
      <c r="V139" s="7">
        <f>IF(SUM(L139:O139)=0,"",N139/SUM(L139:O139))</f>
        <v/>
      </c>
      <c r="W139" s="7">
        <f>IF(SUM(L139:O139)=0,"",O139/SUM(L139:O139))</f>
        <v/>
      </c>
    </row>
    <row r="140">
      <c r="A140" t="n">
        <v>158</v>
      </c>
      <c r="B140" t="inlineStr">
        <is>
          <t>[individual_tag] shared [individual_tag]'s book "Our Kids: The American Dream in Crisis" with fellow [community_foundation_tag] member [individual_tag].</t>
        </is>
      </c>
      <c r="C140" t="n">
        <v>0</v>
      </c>
      <c r="D140" t="n">
        <v>0</v>
      </c>
      <c r="E140" t="n">
        <v>0</v>
      </c>
      <c r="F140" t="n">
        <v>0</v>
      </c>
      <c r="G140" t="b">
        <v>0</v>
      </c>
      <c r="H140" t="n">
        <v>0</v>
      </c>
      <c r="I140" t="n">
        <v>0</v>
      </c>
      <c r="J140" t="n">
        <v>0</v>
      </c>
      <c r="K140" t="n">
        <v>0</v>
      </c>
      <c r="L140" t="n">
        <v>0</v>
      </c>
      <c r="M140" t="n">
        <v>0</v>
      </c>
      <c r="N140" t="n">
        <v>0</v>
      </c>
      <c r="O140" t="n">
        <v>0</v>
      </c>
      <c r="P140" s="7">
        <f>IF(SUM(H140:K140)=0,"",H140/SUM(H140:K140))</f>
        <v/>
      </c>
      <c r="Q140" s="7">
        <f>IF(SUM(H140:K140)=0,"",I140/SUM(H140:K140))</f>
        <v/>
      </c>
      <c r="R140" s="7">
        <f>IF(SUM(H140:K140)=0,"",J140/SUM(H140:K140))</f>
        <v/>
      </c>
      <c r="S140" s="7">
        <f>IF(SUM(H140:K140)=0,"",K140/SUM(H140:K140))</f>
        <v/>
      </c>
      <c r="T140" s="7">
        <f>IF(SUM(L140:O140)=0,"",L140/SUM(L140:O140))</f>
        <v/>
      </c>
      <c r="U140" s="7">
        <f>IF(SUM(L140:O140)=0,"",M140/SUM(L140:O140))</f>
        <v/>
      </c>
      <c r="V140" s="7">
        <f>IF(SUM(L140:O140)=0,"",N140/SUM(L140:O140))</f>
        <v/>
      </c>
      <c r="W140" s="7">
        <f>IF(SUM(L140:O140)=0,"",O140/SUM(L140:O140))</f>
        <v/>
      </c>
    </row>
    <row r="141">
      <c r="A141" t="n">
        <v>159</v>
      </c>
      <c r="B141" t="inlineStr">
        <is>
          <t>One of the [individual_tag]' children wrote a college entrance essay inspired by their time volunteering at Big Brothers Big Sisters.</t>
        </is>
      </c>
      <c r="C141" t="n">
        <v>0</v>
      </c>
      <c r="D141" t="n">
        <v>0</v>
      </c>
      <c r="E141" t="n">
        <v>0</v>
      </c>
      <c r="F141" t="n">
        <v>0</v>
      </c>
      <c r="G141" t="b">
        <v>0</v>
      </c>
      <c r="H141" t="n">
        <v>0</v>
      </c>
      <c r="I141" t="n">
        <v>0</v>
      </c>
      <c r="J141" t="n">
        <v>0</v>
      </c>
      <c r="K141" t="n">
        <v>0</v>
      </c>
      <c r="L141" t="n">
        <v>0</v>
      </c>
      <c r="M141" t="n">
        <v>0</v>
      </c>
      <c r="N141" t="n">
        <v>0</v>
      </c>
      <c r="O141" t="n">
        <v>0</v>
      </c>
      <c r="P141" s="7">
        <f>IF(SUM(H141:K141)=0,"",H141/SUM(H141:K141))</f>
        <v/>
      </c>
      <c r="Q141" s="7">
        <f>IF(SUM(H141:K141)=0,"",I141/SUM(H141:K141))</f>
        <v/>
      </c>
      <c r="R141" s="7">
        <f>IF(SUM(H141:K141)=0,"",J141/SUM(H141:K141))</f>
        <v/>
      </c>
      <c r="S141" s="7">
        <f>IF(SUM(H141:K141)=0,"",K141/SUM(H141:K141))</f>
        <v/>
      </c>
      <c r="T141" s="7">
        <f>IF(SUM(L141:O141)=0,"",L141/SUM(L141:O141))</f>
        <v/>
      </c>
      <c r="U141" s="7">
        <f>IF(SUM(L141:O141)=0,"",M141/SUM(L141:O141))</f>
        <v/>
      </c>
      <c r="V141" s="7">
        <f>IF(SUM(L141:O141)=0,"",N141/SUM(L141:O141))</f>
        <v/>
      </c>
      <c r="W141" s="7">
        <f>IF(SUM(L141:O141)=0,"",O141/SUM(L141:O141))</f>
        <v/>
      </c>
    </row>
    <row r="142">
      <c r="A142" t="n">
        <v>160</v>
      </c>
      <c r="B142" t="inlineStr">
        <is>
          <t>The theory underpinning the essay was that although they were 99.9% like their "little," they still had very different opportunities and circumstances.</t>
        </is>
      </c>
      <c r="C142" t="n">
        <v>0</v>
      </c>
      <c r="D142" t="n">
        <v>1</v>
      </c>
      <c r="E142" t="n">
        <v>0</v>
      </c>
      <c r="F142" t="n">
        <v>0</v>
      </c>
      <c r="G142" t="b">
        <v>0</v>
      </c>
      <c r="H142" t="n">
        <v>0</v>
      </c>
      <c r="I142" t="n">
        <v>0</v>
      </c>
      <c r="J142" t="n">
        <v>0</v>
      </c>
      <c r="K142" t="n">
        <v>0</v>
      </c>
      <c r="L142" t="n">
        <v>0</v>
      </c>
      <c r="M142" t="n">
        <v>0</v>
      </c>
      <c r="N142" t="n">
        <v>1</v>
      </c>
      <c r="O142" t="n">
        <v>2</v>
      </c>
      <c r="P142" s="7">
        <f>IF(SUM(H142:K142)=0,"",H142/SUM(H142:K142))</f>
        <v/>
      </c>
      <c r="Q142" s="7">
        <f>IF(SUM(H142:K142)=0,"",I142/SUM(H142:K142))</f>
        <v/>
      </c>
      <c r="R142" s="7">
        <f>IF(SUM(H142:K142)=0,"",J142/SUM(H142:K142))</f>
        <v/>
      </c>
      <c r="S142" s="7">
        <f>IF(SUM(H142:K142)=0,"",K142/SUM(H142:K142))</f>
        <v/>
      </c>
      <c r="T142" s="7">
        <f>IF(SUM(L142:O142)=0,"",L142/SUM(L142:O142))</f>
        <v/>
      </c>
      <c r="U142" s="7">
        <f>IF(SUM(L142:O142)=0,"",M142/SUM(L142:O142))</f>
        <v/>
      </c>
      <c r="V142" s="7">
        <f>IF(SUM(L142:O142)=0,"",N142/SUM(L142:O142))</f>
        <v/>
      </c>
      <c r="W142" s="7">
        <f>IF(SUM(L142:O142)=0,"",O142/SUM(L142:O142))</f>
        <v/>
      </c>
    </row>
    <row r="143">
      <c r="A143" t="n">
        <v>161</v>
      </c>
      <c r="B143" t="inlineStr">
        <is>
          <t>As conversations about the widening gap in upward mobility took place in the [individual_tag] household, they were also happening at [community_foundation_tag].</t>
        </is>
      </c>
      <c r="C143" t="n">
        <v>1</v>
      </c>
      <c r="D143" t="n">
        <v>2</v>
      </c>
      <c r="E143" t="n">
        <v>0</v>
      </c>
      <c r="F143" t="n">
        <v>0</v>
      </c>
      <c r="G143" t="b">
        <v>1</v>
      </c>
      <c r="H143" t="n">
        <v>0</v>
      </c>
      <c r="I143" t="n">
        <v>0</v>
      </c>
      <c r="J143" t="n">
        <v>0</v>
      </c>
      <c r="K143" t="n">
        <v>2</v>
      </c>
      <c r="L143" t="n">
        <v>0</v>
      </c>
      <c r="M143" t="n">
        <v>0</v>
      </c>
      <c r="N143" t="n">
        <v>4</v>
      </c>
      <c r="O143" t="n">
        <v>2</v>
      </c>
      <c r="P143" s="7">
        <f>IF(SUM(H143:K143)=0,"",H143/SUM(H143:K143))</f>
        <v/>
      </c>
      <c r="Q143" s="7">
        <f>IF(SUM(H143:K143)=0,"",I143/SUM(H143:K143))</f>
        <v/>
      </c>
      <c r="R143" s="7">
        <f>IF(SUM(H143:K143)=0,"",J143/SUM(H143:K143))</f>
        <v/>
      </c>
      <c r="S143" s="7">
        <f>IF(SUM(H143:K143)=0,"",K143/SUM(H143:K143))</f>
        <v/>
      </c>
      <c r="T143" s="7">
        <f>IF(SUM(L143:O143)=0,"",L143/SUM(L143:O143))</f>
        <v/>
      </c>
      <c r="U143" s="7">
        <f>IF(SUM(L143:O143)=0,"",M143/SUM(L143:O143))</f>
        <v/>
      </c>
      <c r="V143" s="7">
        <f>IF(SUM(L143:O143)=0,"",N143/SUM(L143:O143))</f>
        <v/>
      </c>
      <c r="W143" s="7">
        <f>IF(SUM(L143:O143)=0,"",O143/SUM(L143:O143))</f>
        <v/>
      </c>
    </row>
    <row r="144">
      <c r="A144" t="n">
        <v>162</v>
      </c>
      <c r="B144" t="inlineStr">
        <is>
          <t>With the knowledge that 85% of the human brain's development has been completed by age five according to data compiled by the Rauch Foundation, [community_foundation_tag] developed the Ready for School Preschool Scholarship program with the goal for every child in Midland County to receive at least one year of high-quality preschool scholarship before kindergarten. The Ready for School Preschool Scholarship makes this possible for those with limited financial resources.</t>
        </is>
      </c>
      <c r="C144" t="n">
        <v>1</v>
      </c>
      <c r="D144" t="n">
        <v>2</v>
      </c>
      <c r="E144" t="n">
        <v>0</v>
      </c>
      <c r="F144" t="n">
        <v>0</v>
      </c>
      <c r="G144" t="b">
        <v>1</v>
      </c>
      <c r="H144" t="n">
        <v>0</v>
      </c>
      <c r="I144" t="n">
        <v>0</v>
      </c>
      <c r="J144" t="n">
        <v>2</v>
      </c>
      <c r="K144" t="n">
        <v>0</v>
      </c>
      <c r="L144" t="n">
        <v>0</v>
      </c>
      <c r="M144" t="n">
        <v>0</v>
      </c>
      <c r="N144" t="n">
        <v>4</v>
      </c>
      <c r="O144" t="n">
        <v>2</v>
      </c>
      <c r="P144" s="7">
        <f>IF(SUM(H144:K144)=0,"",H144/SUM(H144:K144))</f>
        <v/>
      </c>
      <c r="Q144" s="7">
        <f>IF(SUM(H144:K144)=0,"",I144/SUM(H144:K144))</f>
        <v/>
      </c>
      <c r="R144" s="7">
        <f>IF(SUM(H144:K144)=0,"",J144/SUM(H144:K144))</f>
        <v/>
      </c>
      <c r="S144" s="7">
        <f>IF(SUM(H144:K144)=0,"",K144/SUM(H144:K144))</f>
        <v/>
      </c>
      <c r="T144" s="7">
        <f>IF(SUM(L144:O144)=0,"",L144/SUM(L144:O144))</f>
        <v/>
      </c>
      <c r="U144" s="7">
        <f>IF(SUM(L144:O144)=0,"",M144/SUM(L144:O144))</f>
        <v/>
      </c>
      <c r="V144" s="7">
        <f>IF(SUM(L144:O144)=0,"",N144/SUM(L144:O144))</f>
        <v/>
      </c>
      <c r="W144" s="7">
        <f>IF(SUM(L144:O144)=0,"",O144/SUM(L144:O144))</f>
        <v/>
      </c>
    </row>
    <row r="145">
      <c r="A145" t="n">
        <v>163</v>
      </c>
      <c r="B145" t="inlineStr">
        <is>
          <t>The program is a partnership with the Midland County Great Start Collaborative and was developed under the guidance of a small committee, including [individual_tag].</t>
        </is>
      </c>
      <c r="C145" t="n">
        <v>1</v>
      </c>
      <c r="D145" t="n">
        <v>2</v>
      </c>
      <c r="E145" t="n">
        <v>0</v>
      </c>
      <c r="F145" t="n">
        <v>0</v>
      </c>
      <c r="G145" t="b">
        <v>1</v>
      </c>
      <c r="H145" t="n">
        <v>2</v>
      </c>
      <c r="I145" t="n">
        <v>0</v>
      </c>
      <c r="J145" t="n">
        <v>0</v>
      </c>
      <c r="K145" t="n">
        <v>0</v>
      </c>
      <c r="L145" t="n">
        <v>2</v>
      </c>
      <c r="M145" t="n">
        <v>0</v>
      </c>
      <c r="N145" t="n">
        <v>4</v>
      </c>
      <c r="O145" t="n">
        <v>0</v>
      </c>
      <c r="P145" s="7">
        <f>IF(SUM(H145:K145)=0,"",H145/SUM(H145:K145))</f>
        <v/>
      </c>
      <c r="Q145" s="7">
        <f>IF(SUM(H145:K145)=0,"",I145/SUM(H145:K145))</f>
        <v/>
      </c>
      <c r="R145" s="7">
        <f>IF(SUM(H145:K145)=0,"",J145/SUM(H145:K145))</f>
        <v/>
      </c>
      <c r="S145" s="7">
        <f>IF(SUM(H145:K145)=0,"",K145/SUM(H145:K145))</f>
        <v/>
      </c>
      <c r="T145" s="7">
        <f>IF(SUM(L145:O145)=0,"",L145/SUM(L145:O145))</f>
        <v/>
      </c>
      <c r="U145" s="7">
        <f>IF(SUM(L145:O145)=0,"",M145/SUM(L145:O145))</f>
        <v/>
      </c>
      <c r="V145" s="7">
        <f>IF(SUM(L145:O145)=0,"",N145/SUM(L145:O145))</f>
        <v/>
      </c>
      <c r="W145" s="7">
        <f>IF(SUM(L145:O145)=0,"",O145/SUM(L145:O145))</f>
        <v/>
      </c>
    </row>
    <row r="146">
      <c r="A146" t="n">
        <v>164</v>
      </c>
      <c r="B146" t="inlineStr">
        <is>
          <t>It is an endowed fund to underwrite tuition to attend quality preschool for Midland County children whose families would otherwise be unable or find it challenging to afford the experience.</t>
        </is>
      </c>
      <c r="C146" t="n">
        <v>1</v>
      </c>
      <c r="D146" t="n">
        <v>3</v>
      </c>
      <c r="E146" t="n">
        <v>0</v>
      </c>
      <c r="F146" t="n">
        <v>0</v>
      </c>
      <c r="G146" t="b">
        <v>1</v>
      </c>
      <c r="H146" t="n">
        <v>0</v>
      </c>
      <c r="I146" t="n">
        <v>0</v>
      </c>
      <c r="J146" t="n">
        <v>0</v>
      </c>
      <c r="K146" t="n">
        <v>2</v>
      </c>
      <c r="L146" t="n">
        <v>4</v>
      </c>
      <c r="M146" t="n">
        <v>0</v>
      </c>
      <c r="N146" t="n">
        <v>1</v>
      </c>
      <c r="O146" t="n">
        <v>4</v>
      </c>
      <c r="P146" s="7">
        <f>IF(SUM(H146:K146)=0,"",H146/SUM(H146:K146))</f>
        <v/>
      </c>
      <c r="Q146" s="7">
        <f>IF(SUM(H146:K146)=0,"",I146/SUM(H146:K146))</f>
        <v/>
      </c>
      <c r="R146" s="7">
        <f>IF(SUM(H146:K146)=0,"",J146/SUM(H146:K146))</f>
        <v/>
      </c>
      <c r="S146" s="7">
        <f>IF(SUM(H146:K146)=0,"",K146/SUM(H146:K146))</f>
        <v/>
      </c>
      <c r="T146" s="7">
        <f>IF(SUM(L146:O146)=0,"",L146/SUM(L146:O146))</f>
        <v/>
      </c>
      <c r="U146" s="7">
        <f>IF(SUM(L146:O146)=0,"",M146/SUM(L146:O146))</f>
        <v/>
      </c>
      <c r="V146" s="7">
        <f>IF(SUM(L146:O146)=0,"",N146/SUM(L146:O146))</f>
        <v/>
      </c>
      <c r="W146" s="7">
        <f>IF(SUM(L146:O146)=0,"",O146/SUM(L146:O146))</f>
        <v/>
      </c>
    </row>
    <row r="147">
      <c r="A147" t="n">
        <v>165</v>
      </c>
      <c r="B147" t="inlineStr">
        <is>
          <t>"As this concept developed into a fund, it was something we felt very passionate about," said [individual_tag].</t>
        </is>
      </c>
      <c r="C147" t="n">
        <v>1</v>
      </c>
      <c r="D147" t="n">
        <v>1</v>
      </c>
      <c r="E147" t="n">
        <v>0</v>
      </c>
      <c r="F147" t="n">
        <v>0</v>
      </c>
      <c r="G147" t="b">
        <v>1</v>
      </c>
      <c r="H147" t="n">
        <v>0</v>
      </c>
      <c r="I147" t="n">
        <v>2</v>
      </c>
      <c r="J147" t="n">
        <v>0</v>
      </c>
      <c r="K147" t="n">
        <v>0</v>
      </c>
      <c r="L147" t="n">
        <v>1</v>
      </c>
      <c r="M147" t="n">
        <v>2</v>
      </c>
      <c r="N147" t="n">
        <v>0</v>
      </c>
      <c r="O147" t="n">
        <v>0</v>
      </c>
      <c r="P147" s="7">
        <f>IF(SUM(H147:K147)=0,"",H147/SUM(H147:K147))</f>
        <v/>
      </c>
      <c r="Q147" s="7">
        <f>IF(SUM(H147:K147)=0,"",I147/SUM(H147:K147))</f>
        <v/>
      </c>
      <c r="R147" s="7">
        <f>IF(SUM(H147:K147)=0,"",J147/SUM(H147:K147))</f>
        <v/>
      </c>
      <c r="S147" s="7">
        <f>IF(SUM(H147:K147)=0,"",K147/SUM(H147:K147))</f>
        <v/>
      </c>
      <c r="T147" s="7">
        <f>IF(SUM(L147:O147)=0,"",L147/SUM(L147:O147))</f>
        <v/>
      </c>
      <c r="U147" s="7">
        <f>IF(SUM(L147:O147)=0,"",M147/SUM(L147:O147))</f>
        <v/>
      </c>
      <c r="V147" s="7">
        <f>IF(SUM(L147:O147)=0,"",N147/SUM(L147:O147))</f>
        <v/>
      </c>
      <c r="W147" s="7">
        <f>IF(SUM(L147:O147)=0,"",O147/SUM(L147:O147))</f>
        <v/>
      </c>
    </row>
    <row r="148">
      <c r="A148" t="n">
        <v>166</v>
      </c>
      <c r="B148" t="inlineStr">
        <is>
          <t>"With the endowment model, we love making a gift that will forever help children get the right start."</t>
        </is>
      </c>
      <c r="C148" t="n">
        <v>1</v>
      </c>
      <c r="D148" t="n">
        <v>2</v>
      </c>
      <c r="E148" t="n">
        <v>0</v>
      </c>
      <c r="F148" t="n">
        <v>0</v>
      </c>
      <c r="G148" t="b">
        <v>1</v>
      </c>
      <c r="H148" t="n">
        <v>0</v>
      </c>
      <c r="I148" t="n">
        <v>2</v>
      </c>
      <c r="J148" t="n">
        <v>0</v>
      </c>
      <c r="K148" t="n">
        <v>0</v>
      </c>
      <c r="L148" t="n">
        <v>4</v>
      </c>
      <c r="M148" t="n">
        <v>2</v>
      </c>
      <c r="N148" t="n">
        <v>0</v>
      </c>
      <c r="O148" t="n">
        <v>0</v>
      </c>
      <c r="P148" s="7">
        <f>IF(SUM(H148:K148)=0,"",H148/SUM(H148:K148))</f>
        <v/>
      </c>
      <c r="Q148" s="7">
        <f>IF(SUM(H148:K148)=0,"",I148/SUM(H148:K148))</f>
        <v/>
      </c>
      <c r="R148" s="7">
        <f>IF(SUM(H148:K148)=0,"",J148/SUM(H148:K148))</f>
        <v/>
      </c>
      <c r="S148" s="7">
        <f>IF(SUM(H148:K148)=0,"",K148/SUM(H148:K148))</f>
        <v/>
      </c>
      <c r="T148" s="7">
        <f>IF(SUM(L148:O148)=0,"",L148/SUM(L148:O148))</f>
        <v/>
      </c>
      <c r="U148" s="7">
        <f>IF(SUM(L148:O148)=0,"",M148/SUM(L148:O148))</f>
        <v/>
      </c>
      <c r="V148" s="7">
        <f>IF(SUM(L148:O148)=0,"",N148/SUM(L148:O148))</f>
        <v/>
      </c>
      <c r="W148" s="7">
        <f>IF(SUM(L148:O148)=0,"",O148/SUM(L148:O148))</f>
        <v/>
      </c>
    </row>
    <row r="149">
      <c r="A149" t="n">
        <v>167</v>
      </c>
      <c r="B149" t="inlineStr">
        <is>
          <t>Established with generous support from the Rollin M. Gerstacker Foundation, the Charles J. Strosacker Foundation, and many passionate individuals, families, and organizations, the endowed fund will grow, supporting some of Midland's youngest learners in perpetuity. If you would like to assist in developing talent in Midland County, contact [community_foundation_tag] directly to explore the best way to support this initiative.</t>
        </is>
      </c>
      <c r="C149" t="n">
        <v>0</v>
      </c>
      <c r="D149" t="n">
        <v>3</v>
      </c>
      <c r="E149" t="n">
        <v>0</v>
      </c>
      <c r="F149" t="n">
        <v>0</v>
      </c>
      <c r="G149" t="b">
        <v>0</v>
      </c>
      <c r="H149" t="n">
        <v>0</v>
      </c>
      <c r="I149" t="n">
        <v>0</v>
      </c>
      <c r="J149" t="n">
        <v>0</v>
      </c>
      <c r="K149" t="n">
        <v>0</v>
      </c>
      <c r="L149" t="n">
        <v>5</v>
      </c>
      <c r="M149" t="n">
        <v>1</v>
      </c>
      <c r="N149" t="n">
        <v>3</v>
      </c>
      <c r="O149" t="n">
        <v>0</v>
      </c>
      <c r="P149" s="7">
        <f>IF(SUM(H149:K149)=0,"",H149/SUM(H149:K149))</f>
        <v/>
      </c>
      <c r="Q149" s="7">
        <f>IF(SUM(H149:K149)=0,"",I149/SUM(H149:K149))</f>
        <v/>
      </c>
      <c r="R149" s="7">
        <f>IF(SUM(H149:K149)=0,"",J149/SUM(H149:K149))</f>
        <v/>
      </c>
      <c r="S149" s="7">
        <f>IF(SUM(H149:K149)=0,"",K149/SUM(H149:K149))</f>
        <v/>
      </c>
      <c r="T149" s="7">
        <f>IF(SUM(L149:O149)=0,"",L149/SUM(L149:O149))</f>
        <v/>
      </c>
      <c r="U149" s="7">
        <f>IF(SUM(L149:O149)=0,"",M149/SUM(L149:O149))</f>
        <v/>
      </c>
      <c r="V149" s="7">
        <f>IF(SUM(L149:O149)=0,"",N149/SUM(L149:O149))</f>
        <v/>
      </c>
      <c r="W149" s="7">
        <f>IF(SUM(L149:O149)=0,"",O149/SUM(L149:O149))</f>
        <v/>
      </c>
    </row>
    <row r="150">
      <c r="A150" t="n">
        <v>168</v>
      </c>
      <c r="B150" t="inlineStr">
        <is>
          <t>You can learn more at [community_foundation_tag]/initiative/readyforschool.</t>
        </is>
      </c>
      <c r="C150" t="n">
        <v>0</v>
      </c>
      <c r="D150" t="n">
        <v>0</v>
      </c>
      <c r="E150" t="n">
        <v>0</v>
      </c>
      <c r="F150" t="n">
        <v>0</v>
      </c>
      <c r="G150" t="b">
        <v>0</v>
      </c>
      <c r="H150" t="n">
        <v>0</v>
      </c>
      <c r="I150" t="n">
        <v>0</v>
      </c>
      <c r="J150" t="n">
        <v>0</v>
      </c>
      <c r="K150" t="n">
        <v>0</v>
      </c>
      <c r="L150" t="n">
        <v>0</v>
      </c>
      <c r="M150" t="n">
        <v>0</v>
      </c>
      <c r="N150" t="n">
        <v>0</v>
      </c>
      <c r="O150" t="n">
        <v>0</v>
      </c>
      <c r="P150" s="7">
        <f>IF(SUM(H150:K150)=0,"",H150/SUM(H150:K150))</f>
        <v/>
      </c>
      <c r="Q150" s="7">
        <f>IF(SUM(H150:K150)=0,"",I150/SUM(H150:K150))</f>
        <v/>
      </c>
      <c r="R150" s="7">
        <f>IF(SUM(H150:K150)=0,"",J150/SUM(H150:K150))</f>
        <v/>
      </c>
      <c r="S150" s="7">
        <f>IF(SUM(H150:K150)=0,"",K150/SUM(H150:K150))</f>
        <v/>
      </c>
      <c r="T150" s="7">
        <f>IF(SUM(L150:O150)=0,"",L150/SUM(L150:O150))</f>
        <v/>
      </c>
      <c r="U150" s="7">
        <f>IF(SUM(L150:O150)=0,"",M150/SUM(L150:O150))</f>
        <v/>
      </c>
      <c r="V150" s="7">
        <f>IF(SUM(L150:O150)=0,"",N150/SUM(L150:O150))</f>
        <v/>
      </c>
      <c r="W150" s="7">
        <f>IF(SUM(L150:O150)=0,"",O150/SUM(L150:O150))</f>
        <v/>
      </c>
    </row>
    <row r="151">
      <c r="A151" t="n">
        <v>169</v>
      </c>
      <c r="B151" t="inlineStr">
        <is>
          <t>Assets [community_foundation_tag] has over $114 million in assets, enabling [community_foundation_tag] to give now and in the future.</t>
        </is>
      </c>
      <c r="C151" t="n">
        <v>1</v>
      </c>
      <c r="D151" t="n">
        <v>1</v>
      </c>
      <c r="E151" t="n">
        <v>0</v>
      </c>
      <c r="F151" t="n">
        <v>0</v>
      </c>
      <c r="G151" t="b">
        <v>1</v>
      </c>
      <c r="H151" t="n">
        <v>2</v>
      </c>
      <c r="I151" t="n">
        <v>0</v>
      </c>
      <c r="J151" t="n">
        <v>0</v>
      </c>
      <c r="K151" t="n">
        <v>0</v>
      </c>
      <c r="L151" t="n">
        <v>2</v>
      </c>
      <c r="M151" t="n">
        <v>1</v>
      </c>
      <c r="N151" t="n">
        <v>0</v>
      </c>
      <c r="O151" t="n">
        <v>0</v>
      </c>
      <c r="P151" s="7">
        <f>IF(SUM(H151:K151)=0,"",H151/SUM(H151:K151))</f>
        <v/>
      </c>
      <c r="Q151" s="7">
        <f>IF(SUM(H151:K151)=0,"",I151/SUM(H151:K151))</f>
        <v/>
      </c>
      <c r="R151" s="7">
        <f>IF(SUM(H151:K151)=0,"",J151/SUM(H151:K151))</f>
        <v/>
      </c>
      <c r="S151" s="7">
        <f>IF(SUM(H151:K151)=0,"",K151/SUM(H151:K151))</f>
        <v/>
      </c>
      <c r="T151" s="7">
        <f>IF(SUM(L151:O151)=0,"",L151/SUM(L151:O151))</f>
        <v/>
      </c>
      <c r="U151" s="7">
        <f>IF(SUM(L151:O151)=0,"",M151/SUM(L151:O151))</f>
        <v/>
      </c>
      <c r="V151" s="7">
        <f>IF(SUM(L151:O151)=0,"",N151/SUM(L151:O151))</f>
        <v/>
      </c>
      <c r="W151" s="7">
        <f>IF(SUM(L151:O151)=0,"",O151/SUM(L151:O151))</f>
        <v/>
      </c>
    </row>
    <row r="152">
      <c r="A152" t="n">
        <v>170</v>
      </c>
      <c r="B152" t="inlineStr">
        <is>
          <t>Over 700 funds are represented in the dollar amounts below.</t>
        </is>
      </c>
      <c r="C152" t="n">
        <v>1</v>
      </c>
      <c r="D152" t="n">
        <v>1</v>
      </c>
      <c r="E152" t="n">
        <v>0</v>
      </c>
      <c r="F152" t="n">
        <v>0</v>
      </c>
      <c r="G152" t="b">
        <v>1</v>
      </c>
      <c r="H152" t="n">
        <v>2</v>
      </c>
      <c r="I152" t="n">
        <v>0</v>
      </c>
      <c r="J152" t="n">
        <v>0</v>
      </c>
      <c r="K152" t="n">
        <v>0</v>
      </c>
      <c r="L152" t="n">
        <v>1</v>
      </c>
      <c r="M152" t="n">
        <v>2</v>
      </c>
      <c r="N152" t="n">
        <v>0</v>
      </c>
      <c r="O152" t="n">
        <v>0</v>
      </c>
      <c r="P152" s="7">
        <f>IF(SUM(H152:K152)=0,"",H152/SUM(H152:K152))</f>
        <v/>
      </c>
      <c r="Q152" s="7">
        <f>IF(SUM(H152:K152)=0,"",I152/SUM(H152:K152))</f>
        <v/>
      </c>
      <c r="R152" s="7">
        <f>IF(SUM(H152:K152)=0,"",J152/SUM(H152:K152))</f>
        <v/>
      </c>
      <c r="S152" s="7">
        <f>IF(SUM(H152:K152)=0,"",K152/SUM(H152:K152))</f>
        <v/>
      </c>
      <c r="T152" s="7">
        <f>IF(SUM(L152:O152)=0,"",L152/SUM(L152:O152))</f>
        <v/>
      </c>
      <c r="U152" s="7">
        <f>IF(SUM(L152:O152)=0,"",M152/SUM(L152:O152))</f>
        <v/>
      </c>
      <c r="V152" s="7">
        <f>IF(SUM(L152:O152)=0,"",N152/SUM(L152:O152))</f>
        <v/>
      </c>
      <c r="W152" s="7">
        <f>IF(SUM(L152:O152)=0,"",O152/SUM(L152:O152))</f>
        <v/>
      </c>
    </row>
    <row r="153">
      <c r="A153" t="n">
        <v>171</v>
      </c>
      <c r="B153" t="inlineStr">
        <is>
          <t>Many of the funds are endowed, and all have the purpose of helping with causes [community_foundation_tag] donors care about.</t>
        </is>
      </c>
      <c r="C153" t="n">
        <v>1</v>
      </c>
      <c r="D153" t="n">
        <v>2</v>
      </c>
      <c r="E153" t="n">
        <v>0</v>
      </c>
      <c r="F153" t="n">
        <v>0</v>
      </c>
      <c r="G153" t="b">
        <v>1</v>
      </c>
      <c r="H153" t="n">
        <v>0</v>
      </c>
      <c r="I153" t="n">
        <v>2</v>
      </c>
      <c r="J153" t="n">
        <v>0</v>
      </c>
      <c r="K153" t="n">
        <v>0</v>
      </c>
      <c r="L153" t="n">
        <v>2</v>
      </c>
      <c r="M153" t="n">
        <v>4</v>
      </c>
      <c r="N153" t="n">
        <v>0</v>
      </c>
      <c r="O153" t="n">
        <v>0</v>
      </c>
      <c r="P153" s="7">
        <f>IF(SUM(H153:K153)=0,"",H153/SUM(H153:K153))</f>
        <v/>
      </c>
      <c r="Q153" s="7">
        <f>IF(SUM(H153:K153)=0,"",I153/SUM(H153:K153))</f>
        <v/>
      </c>
      <c r="R153" s="7">
        <f>IF(SUM(H153:K153)=0,"",J153/SUM(H153:K153))</f>
        <v/>
      </c>
      <c r="S153" s="7">
        <f>IF(SUM(H153:K153)=0,"",K153/SUM(H153:K153))</f>
        <v/>
      </c>
      <c r="T153" s="7">
        <f>IF(SUM(L153:O153)=0,"",L153/SUM(L153:O153))</f>
        <v/>
      </c>
      <c r="U153" s="7">
        <f>IF(SUM(L153:O153)=0,"",M153/SUM(L153:O153))</f>
        <v/>
      </c>
      <c r="V153" s="7">
        <f>IF(SUM(L153:O153)=0,"",N153/SUM(L153:O153))</f>
        <v/>
      </c>
      <c r="W153" s="7">
        <f>IF(SUM(L153:O153)=0,"",O153/SUM(L153:O153))</f>
        <v/>
      </c>
    </row>
    <row r="154">
      <c r="A154" t="n">
        <v>172</v>
      </c>
      <c r="B154" t="inlineStr">
        <is>
          <t>Anyone can be a philanthropist.</t>
        </is>
      </c>
      <c r="C154" t="n">
        <v>0</v>
      </c>
      <c r="D154" t="n">
        <v>1</v>
      </c>
      <c r="E154" t="n">
        <v>0</v>
      </c>
      <c r="F154" t="n">
        <v>0</v>
      </c>
      <c r="G154" t="b">
        <v>0</v>
      </c>
      <c r="H154" t="n">
        <v>0</v>
      </c>
      <c r="I154" t="n">
        <v>0</v>
      </c>
      <c r="J154" t="n">
        <v>0</v>
      </c>
      <c r="K154" t="n">
        <v>0</v>
      </c>
      <c r="L154" t="n">
        <v>1</v>
      </c>
      <c r="M154" t="n">
        <v>2</v>
      </c>
      <c r="N154" t="n">
        <v>0</v>
      </c>
      <c r="O154" t="n">
        <v>0</v>
      </c>
      <c r="P154" s="7">
        <f>IF(SUM(H154:K154)=0,"",H154/SUM(H154:K154))</f>
        <v/>
      </c>
      <c r="Q154" s="7">
        <f>IF(SUM(H154:K154)=0,"",I154/SUM(H154:K154))</f>
        <v/>
      </c>
      <c r="R154" s="7">
        <f>IF(SUM(H154:K154)=0,"",J154/SUM(H154:K154))</f>
        <v/>
      </c>
      <c r="S154" s="7">
        <f>IF(SUM(H154:K154)=0,"",K154/SUM(H154:K154))</f>
        <v/>
      </c>
      <c r="T154" s="7">
        <f>IF(SUM(L154:O154)=0,"",L154/SUM(L154:O154))</f>
        <v/>
      </c>
      <c r="U154" s="7">
        <f>IF(SUM(L154:O154)=0,"",M154/SUM(L154:O154))</f>
        <v/>
      </c>
      <c r="V154" s="7">
        <f>IF(SUM(L154:O154)=0,"",N154/SUM(L154:O154))</f>
        <v/>
      </c>
      <c r="W154" s="7">
        <f>IF(SUM(L154:O154)=0,"",O154/SUM(L154:O154))</f>
        <v/>
      </c>
    </row>
    <row r="155">
      <c r="A155" t="n">
        <v>173</v>
      </c>
      <c r="B155" t="inlineStr">
        <is>
          <t>Whether the gift is large or small, gifts to [community_foundation_tag] go toward helping Midland thrive.</t>
        </is>
      </c>
      <c r="C155" t="n">
        <v>0</v>
      </c>
      <c r="D155" t="n">
        <v>2</v>
      </c>
      <c r="E155" t="n">
        <v>0</v>
      </c>
      <c r="F155" t="n">
        <v>0</v>
      </c>
      <c r="G155" t="b">
        <v>0</v>
      </c>
      <c r="H155" t="n">
        <v>0</v>
      </c>
      <c r="I155" t="n">
        <v>0</v>
      </c>
      <c r="J155" t="n">
        <v>0</v>
      </c>
      <c r="K155" t="n">
        <v>0</v>
      </c>
      <c r="L155" t="n">
        <v>4</v>
      </c>
      <c r="M155" t="n">
        <v>2</v>
      </c>
      <c r="N155" t="n">
        <v>0</v>
      </c>
      <c r="O155" t="n">
        <v>0</v>
      </c>
      <c r="P155" s="7">
        <f>IF(SUM(H155:K155)=0,"",H155/SUM(H155:K155))</f>
        <v/>
      </c>
      <c r="Q155" s="7">
        <f>IF(SUM(H155:K155)=0,"",I155/SUM(H155:K155))</f>
        <v/>
      </c>
      <c r="R155" s="7">
        <f>IF(SUM(H155:K155)=0,"",J155/SUM(H155:K155))</f>
        <v/>
      </c>
      <c r="S155" s="7">
        <f>IF(SUM(H155:K155)=0,"",K155/SUM(H155:K155))</f>
        <v/>
      </c>
      <c r="T155" s="7">
        <f>IF(SUM(L155:O155)=0,"",L155/SUM(L155:O155))</f>
        <v/>
      </c>
      <c r="U155" s="7">
        <f>IF(SUM(L155:O155)=0,"",M155/SUM(L155:O155))</f>
        <v/>
      </c>
      <c r="V155" s="7">
        <f>IF(SUM(L155:O155)=0,"",N155/SUM(L155:O155))</f>
        <v/>
      </c>
      <c r="W155" s="7">
        <f>IF(SUM(L155:O155)=0,"",O155/SUM(L155:O155))</f>
        <v/>
      </c>
    </row>
    <row r="156">
      <c r="A156" t="n">
        <v>175</v>
      </c>
      <c r="B156" t="inlineStr">
        <is>
          <t>TOTAL ASSETS</t>
        </is>
      </c>
      <c r="C156" t="n">
        <v>0</v>
      </c>
      <c r="D156" t="n">
        <v>1</v>
      </c>
      <c r="E156" t="n">
        <v>0</v>
      </c>
      <c r="F156" t="n">
        <v>0</v>
      </c>
      <c r="G156" t="b">
        <v>0</v>
      </c>
      <c r="H156" t="n">
        <v>0</v>
      </c>
      <c r="I156" t="n">
        <v>0</v>
      </c>
      <c r="J156" t="n">
        <v>0</v>
      </c>
      <c r="K156" t="n">
        <v>0</v>
      </c>
      <c r="L156" t="n">
        <v>2</v>
      </c>
      <c r="M156" t="n">
        <v>1</v>
      </c>
      <c r="N156" t="n">
        <v>0</v>
      </c>
      <c r="O156" t="n">
        <v>0</v>
      </c>
      <c r="P156" s="7">
        <f>IF(SUM(H156:K156)=0,"",H156/SUM(H156:K156))</f>
        <v/>
      </c>
      <c r="Q156" s="7">
        <f>IF(SUM(H156:K156)=0,"",I156/SUM(H156:K156))</f>
        <v/>
      </c>
      <c r="R156" s="7">
        <f>IF(SUM(H156:K156)=0,"",J156/SUM(H156:K156))</f>
        <v/>
      </c>
      <c r="S156" s="7">
        <f>IF(SUM(H156:K156)=0,"",K156/SUM(H156:K156))</f>
        <v/>
      </c>
      <c r="T156" s="7">
        <f>IF(SUM(L156:O156)=0,"",L156/SUM(L156:O156))</f>
        <v/>
      </c>
      <c r="U156" s="7">
        <f>IF(SUM(L156:O156)=0,"",M156/SUM(L156:O156))</f>
        <v/>
      </c>
      <c r="V156" s="7">
        <f>IF(SUM(L156:O156)=0,"",N156/SUM(L156:O156))</f>
        <v/>
      </c>
      <c r="W156" s="7">
        <f>IF(SUM(L156:O156)=0,"",O156/SUM(L156:O156))</f>
        <v/>
      </c>
    </row>
    <row r="157">
      <c r="A157" t="n">
        <v>176</v>
      </c>
      <c r="B157" t="inlineStr">
        <is>
          <t>$11,738,964 Agency Funds $5,264,396 Field-Of-Interest Funds</t>
        </is>
      </c>
      <c r="C157" t="n">
        <v>0</v>
      </c>
      <c r="D157" t="n">
        <v>2</v>
      </c>
      <c r="E157" t="n">
        <v>0</v>
      </c>
      <c r="F157" t="n">
        <v>0</v>
      </c>
      <c r="G157" t="b">
        <v>0</v>
      </c>
      <c r="H157" t="n">
        <v>0</v>
      </c>
      <c r="I157" t="n">
        <v>0</v>
      </c>
      <c r="J157" t="n">
        <v>0</v>
      </c>
      <c r="K157" t="n">
        <v>0</v>
      </c>
      <c r="L157" t="n">
        <v>2</v>
      </c>
      <c r="M157" t="n">
        <v>4</v>
      </c>
      <c r="N157" t="n">
        <v>0</v>
      </c>
      <c r="O157" t="n">
        <v>0</v>
      </c>
      <c r="P157" s="7">
        <f>IF(SUM(H157:K157)=0,"",H157/SUM(H157:K157))</f>
        <v/>
      </c>
      <c r="Q157" s="7">
        <f>IF(SUM(H157:K157)=0,"",I157/SUM(H157:K157))</f>
        <v/>
      </c>
      <c r="R157" s="7">
        <f>IF(SUM(H157:K157)=0,"",J157/SUM(H157:K157))</f>
        <v/>
      </c>
      <c r="S157" s="7">
        <f>IF(SUM(H157:K157)=0,"",K157/SUM(H157:K157))</f>
        <v/>
      </c>
      <c r="T157" s="7">
        <f>IF(SUM(L157:O157)=0,"",L157/SUM(L157:O157))</f>
        <v/>
      </c>
      <c r="U157" s="7">
        <f>IF(SUM(L157:O157)=0,"",M157/SUM(L157:O157))</f>
        <v/>
      </c>
      <c r="V157" s="7">
        <f>IF(SUM(L157:O157)=0,"",N157/SUM(L157:O157))</f>
        <v/>
      </c>
      <c r="W157" s="7">
        <f>IF(SUM(L157:O157)=0,"",O157/SUM(L157:O157))</f>
        <v/>
      </c>
    </row>
    <row r="158">
      <c r="A158" t="n">
        <v>177</v>
      </c>
      <c r="B158" t="inlineStr">
        <is>
          <t>$28,267,222 Community Investment Funds</t>
        </is>
      </c>
      <c r="C158" t="n">
        <v>0</v>
      </c>
      <c r="D158" t="n">
        <v>2</v>
      </c>
      <c r="E158" t="n">
        <v>0</v>
      </c>
      <c r="F158" t="n">
        <v>0</v>
      </c>
      <c r="G158" t="b">
        <v>0</v>
      </c>
      <c r="H158" t="n">
        <v>0</v>
      </c>
      <c r="I158" t="n">
        <v>0</v>
      </c>
      <c r="J158" t="n">
        <v>0</v>
      </c>
      <c r="K158" t="n">
        <v>0</v>
      </c>
      <c r="L158" t="n">
        <v>4</v>
      </c>
      <c r="M158" t="n">
        <v>0</v>
      </c>
      <c r="N158" t="n">
        <v>2</v>
      </c>
      <c r="O158" t="n">
        <v>0</v>
      </c>
      <c r="P158" s="7">
        <f>IF(SUM(H158:K158)=0,"",H158/SUM(H158:K158))</f>
        <v/>
      </c>
      <c r="Q158" s="7">
        <f>IF(SUM(H158:K158)=0,"",I158/SUM(H158:K158))</f>
        <v/>
      </c>
      <c r="R158" s="7">
        <f>IF(SUM(H158:K158)=0,"",J158/SUM(H158:K158))</f>
        <v/>
      </c>
      <c r="S158" s="7">
        <f>IF(SUM(H158:K158)=0,"",K158/SUM(H158:K158))</f>
        <v/>
      </c>
      <c r="T158" s="7">
        <f>IF(SUM(L158:O158)=0,"",L158/SUM(L158:O158))</f>
        <v/>
      </c>
      <c r="U158" s="7">
        <f>IF(SUM(L158:O158)=0,"",M158/SUM(L158:O158))</f>
        <v/>
      </c>
      <c r="V158" s="7">
        <f>IF(SUM(L158:O158)=0,"",N158/SUM(L158:O158))</f>
        <v/>
      </c>
      <c r="W158" s="7">
        <f>IF(SUM(L158:O158)=0,"",O158/SUM(L158:O158))</f>
        <v/>
      </c>
    </row>
    <row r="159">
      <c r="A159" t="n">
        <v>178</v>
      </c>
      <c r="B159" t="inlineStr">
        <is>
          <t>$11,954 Giving Circle Funds</t>
        </is>
      </c>
      <c r="C159" t="n">
        <v>0</v>
      </c>
      <c r="D159" t="n">
        <v>2</v>
      </c>
      <c r="E159" t="n">
        <v>0</v>
      </c>
      <c r="F159" t="n">
        <v>0</v>
      </c>
      <c r="G159" t="b">
        <v>0</v>
      </c>
      <c r="H159" t="n">
        <v>0</v>
      </c>
      <c r="I159" t="n">
        <v>0</v>
      </c>
      <c r="J159" t="n">
        <v>0</v>
      </c>
      <c r="K159" t="n">
        <v>0</v>
      </c>
      <c r="L159" t="n">
        <v>2</v>
      </c>
      <c r="M159" t="n">
        <v>4</v>
      </c>
      <c r="N159" t="n">
        <v>0</v>
      </c>
      <c r="O159" t="n">
        <v>0</v>
      </c>
      <c r="P159" s="7">
        <f>IF(SUM(H159:K159)=0,"",H159/SUM(H159:K159))</f>
        <v/>
      </c>
      <c r="Q159" s="7">
        <f>IF(SUM(H159:K159)=0,"",I159/SUM(H159:K159))</f>
        <v/>
      </c>
      <c r="R159" s="7">
        <f>IF(SUM(H159:K159)=0,"",J159/SUM(H159:K159))</f>
        <v/>
      </c>
      <c r="S159" s="7">
        <f>IF(SUM(H159:K159)=0,"",K159/SUM(H159:K159))</f>
        <v/>
      </c>
      <c r="T159" s="7">
        <f>IF(SUM(L159:O159)=0,"",L159/SUM(L159:O159))</f>
        <v/>
      </c>
      <c r="U159" s="7">
        <f>IF(SUM(L159:O159)=0,"",M159/SUM(L159:O159))</f>
        <v/>
      </c>
      <c r="V159" s="7">
        <f>IF(SUM(L159:O159)=0,"",N159/SUM(L159:O159))</f>
        <v/>
      </c>
      <c r="W159" s="7">
        <f>IF(SUM(L159:O159)=0,"",O159/SUM(L159:O159))</f>
        <v/>
      </c>
    </row>
    <row r="160">
      <c r="A160" t="n">
        <v>179</v>
      </c>
      <c r="B160" t="inlineStr">
        <is>
          <t>$27,810,013 Designated Funds</t>
        </is>
      </c>
      <c r="C160" t="n">
        <v>0</v>
      </c>
      <c r="D160" t="n">
        <v>2</v>
      </c>
      <c r="E160" t="n">
        <v>0</v>
      </c>
      <c r="F160" t="n">
        <v>0</v>
      </c>
      <c r="G160" t="b">
        <v>0</v>
      </c>
      <c r="H160" t="n">
        <v>0</v>
      </c>
      <c r="I160" t="n">
        <v>0</v>
      </c>
      <c r="J160" t="n">
        <v>0</v>
      </c>
      <c r="K160" t="n">
        <v>0</v>
      </c>
      <c r="L160" t="n">
        <v>2</v>
      </c>
      <c r="M160" t="n">
        <v>4</v>
      </c>
      <c r="N160" t="n">
        <v>0</v>
      </c>
      <c r="O160" t="n">
        <v>0</v>
      </c>
      <c r="P160" s="7">
        <f>IF(SUM(H160:K160)=0,"",H160/SUM(H160:K160))</f>
        <v/>
      </c>
      <c r="Q160" s="7">
        <f>IF(SUM(H160:K160)=0,"",I160/SUM(H160:K160))</f>
        <v/>
      </c>
      <c r="R160" s="7">
        <f>IF(SUM(H160:K160)=0,"",J160/SUM(H160:K160))</f>
        <v/>
      </c>
      <c r="S160" s="7">
        <f>IF(SUM(H160:K160)=0,"",K160/SUM(H160:K160))</f>
        <v/>
      </c>
      <c r="T160" s="7">
        <f>IF(SUM(L160:O160)=0,"",L160/SUM(L160:O160))</f>
        <v/>
      </c>
      <c r="U160" s="7">
        <f>IF(SUM(L160:O160)=0,"",M160/SUM(L160:O160))</f>
        <v/>
      </c>
      <c r="V160" s="7">
        <f>IF(SUM(L160:O160)=0,"",N160/SUM(L160:O160))</f>
        <v/>
      </c>
      <c r="W160" s="7">
        <f>IF(SUM(L160:O160)=0,"",O160/SUM(L160:O160))</f>
        <v/>
      </c>
    </row>
    <row r="161">
      <c r="A161" t="n">
        <v>180</v>
      </c>
      <c r="B161" t="inlineStr">
        <is>
          <t>$7,232,167 Project Funds</t>
        </is>
      </c>
      <c r="C161" t="n">
        <v>0</v>
      </c>
      <c r="D161" t="n">
        <v>2</v>
      </c>
      <c r="E161" t="n">
        <v>0</v>
      </c>
      <c r="F161" t="n">
        <v>0</v>
      </c>
      <c r="G161" t="b">
        <v>0</v>
      </c>
      <c r="H161" t="n">
        <v>0</v>
      </c>
      <c r="I161" t="n">
        <v>0</v>
      </c>
      <c r="J161" t="n">
        <v>0</v>
      </c>
      <c r="K161" t="n">
        <v>0</v>
      </c>
      <c r="L161" t="n">
        <v>2</v>
      </c>
      <c r="M161" t="n">
        <v>4</v>
      </c>
      <c r="N161" t="n">
        <v>0</v>
      </c>
      <c r="O161" t="n">
        <v>0</v>
      </c>
      <c r="P161" s="7">
        <f>IF(SUM(H161:K161)=0,"",H161/SUM(H161:K161))</f>
        <v/>
      </c>
      <c r="Q161" s="7">
        <f>IF(SUM(H161:K161)=0,"",I161/SUM(H161:K161))</f>
        <v/>
      </c>
      <c r="R161" s="7">
        <f>IF(SUM(H161:K161)=0,"",J161/SUM(H161:K161))</f>
        <v/>
      </c>
      <c r="S161" s="7">
        <f>IF(SUM(H161:K161)=0,"",K161/SUM(H161:K161))</f>
        <v/>
      </c>
      <c r="T161" s="7">
        <f>IF(SUM(L161:O161)=0,"",L161/SUM(L161:O161))</f>
        <v/>
      </c>
      <c r="U161" s="7">
        <f>IF(SUM(L161:O161)=0,"",M161/SUM(L161:O161))</f>
        <v/>
      </c>
      <c r="V161" s="7">
        <f>IF(SUM(L161:O161)=0,"",N161/SUM(L161:O161))</f>
        <v/>
      </c>
      <c r="W161" s="7">
        <f>IF(SUM(L161:O161)=0,"",O161/SUM(L161:O161))</f>
        <v/>
      </c>
    </row>
    <row r="162">
      <c r="A162" t="n">
        <v>181</v>
      </c>
      <c r="B162" t="inlineStr">
        <is>
          <t>$12,934,897 Donor-Advised Funds $21,636,090 Scholarship Funds</t>
        </is>
      </c>
      <c r="C162" t="n">
        <v>0</v>
      </c>
      <c r="D162" t="n">
        <v>2</v>
      </c>
      <c r="E162" t="n">
        <v>0</v>
      </c>
      <c r="F162" t="n">
        <v>0</v>
      </c>
      <c r="G162" t="b">
        <v>0</v>
      </c>
      <c r="H162" t="n">
        <v>0</v>
      </c>
      <c r="I162" t="n">
        <v>0</v>
      </c>
      <c r="J162" t="n">
        <v>0</v>
      </c>
      <c r="K162" t="n">
        <v>0</v>
      </c>
      <c r="L162" t="n">
        <v>2</v>
      </c>
      <c r="M162" t="n">
        <v>4</v>
      </c>
      <c r="N162" t="n">
        <v>0</v>
      </c>
      <c r="O162" t="n">
        <v>0</v>
      </c>
      <c r="P162" s="7">
        <f>IF(SUM(H162:K162)=0,"",H162/SUM(H162:K162))</f>
        <v/>
      </c>
      <c r="Q162" s="7">
        <f>IF(SUM(H162:K162)=0,"",I162/SUM(H162:K162))</f>
        <v/>
      </c>
      <c r="R162" s="7">
        <f>IF(SUM(H162:K162)=0,"",J162/SUM(H162:K162))</f>
        <v/>
      </c>
      <c r="S162" s="7">
        <f>IF(SUM(H162:K162)=0,"",K162/SUM(H162:K162))</f>
        <v/>
      </c>
      <c r="T162" s="7">
        <f>IF(SUM(L162:O162)=0,"",L162/SUM(L162:O162))</f>
        <v/>
      </c>
      <c r="U162" s="7">
        <f>IF(SUM(L162:O162)=0,"",M162/SUM(L162:O162))</f>
        <v/>
      </c>
      <c r="V162" s="7">
        <f>IF(SUM(L162:O162)=0,"",N162/SUM(L162:O162))</f>
        <v/>
      </c>
      <c r="W162" s="7">
        <f>IF(SUM(L162:O162)=0,"",O162/SUM(L162:O162))</f>
        <v/>
      </c>
    </row>
    <row r="163">
      <c r="A163" t="n">
        <v>182</v>
      </c>
      <c r="B163" t="inlineStr">
        <is>
          <t>Fund Types</t>
        </is>
      </c>
      <c r="C163" t="n">
        <v>0</v>
      </c>
      <c r="D163" t="n">
        <v>0</v>
      </c>
      <c r="E163" t="n">
        <v>0</v>
      </c>
      <c r="F163" t="n">
        <v>0</v>
      </c>
      <c r="G163" t="b">
        <v>0</v>
      </c>
      <c r="H163" t="n">
        <v>0</v>
      </c>
      <c r="I163" t="n">
        <v>0</v>
      </c>
      <c r="J163" t="n">
        <v>0</v>
      </c>
      <c r="K163" t="n">
        <v>0</v>
      </c>
      <c r="L163" t="n">
        <v>0</v>
      </c>
      <c r="M163" t="n">
        <v>0</v>
      </c>
      <c r="N163" t="n">
        <v>0</v>
      </c>
      <c r="O163" t="n">
        <v>0</v>
      </c>
      <c r="P163" s="7">
        <f>IF(SUM(H163:K163)=0,"",H163/SUM(H163:K163))</f>
        <v/>
      </c>
      <c r="Q163" s="7">
        <f>IF(SUM(H163:K163)=0,"",I163/SUM(H163:K163))</f>
        <v/>
      </c>
      <c r="R163" s="7">
        <f>IF(SUM(H163:K163)=0,"",J163/SUM(H163:K163))</f>
        <v/>
      </c>
      <c r="S163" s="7">
        <f>IF(SUM(H163:K163)=0,"",K163/SUM(H163:K163))</f>
        <v/>
      </c>
      <c r="T163" s="7">
        <f>IF(SUM(L163:O163)=0,"",L163/SUM(L163:O163))</f>
        <v/>
      </c>
      <c r="U163" s="7">
        <f>IF(SUM(L163:O163)=0,"",M163/SUM(L163:O163))</f>
        <v/>
      </c>
      <c r="V163" s="7">
        <f>IF(SUM(L163:O163)=0,"",N163/SUM(L163:O163))</f>
        <v/>
      </c>
      <c r="W163" s="7">
        <f>IF(SUM(L163:O163)=0,"",O163/SUM(L163:O163))</f>
        <v/>
      </c>
    </row>
    <row r="164">
      <c r="A164" t="n">
        <v>183</v>
      </c>
      <c r="B164" t="inlineStr">
        <is>
          <t>Agency Funds</t>
        </is>
      </c>
      <c r="C164" t="n">
        <v>0</v>
      </c>
      <c r="D164" t="n">
        <v>1</v>
      </c>
      <c r="E164" t="n">
        <v>0</v>
      </c>
      <c r="F164" t="n">
        <v>0</v>
      </c>
      <c r="G164" t="b">
        <v>0</v>
      </c>
      <c r="H164" t="n">
        <v>0</v>
      </c>
      <c r="I164" t="n">
        <v>0</v>
      </c>
      <c r="J164" t="n">
        <v>0</v>
      </c>
      <c r="K164" t="n">
        <v>0</v>
      </c>
      <c r="L164" t="n">
        <v>2</v>
      </c>
      <c r="M164" t="n">
        <v>1</v>
      </c>
      <c r="N164" t="n">
        <v>0</v>
      </c>
      <c r="O164" t="n">
        <v>0</v>
      </c>
      <c r="P164" s="7">
        <f>IF(SUM(H164:K164)=0,"",H164/SUM(H164:K164))</f>
        <v/>
      </c>
      <c r="Q164" s="7">
        <f>IF(SUM(H164:K164)=0,"",I164/SUM(H164:K164))</f>
        <v/>
      </c>
      <c r="R164" s="7">
        <f>IF(SUM(H164:K164)=0,"",J164/SUM(H164:K164))</f>
        <v/>
      </c>
      <c r="S164" s="7">
        <f>IF(SUM(H164:K164)=0,"",K164/SUM(H164:K164))</f>
        <v/>
      </c>
      <c r="T164" s="7">
        <f>IF(SUM(L164:O164)=0,"",L164/SUM(L164:O164))</f>
        <v/>
      </c>
      <c r="U164" s="7">
        <f>IF(SUM(L164:O164)=0,"",M164/SUM(L164:O164))</f>
        <v/>
      </c>
      <c r="V164" s="7">
        <f>IF(SUM(L164:O164)=0,"",N164/SUM(L164:O164))</f>
        <v/>
      </c>
      <c r="W164" s="7">
        <f>IF(SUM(L164:O164)=0,"",O164/SUM(L164:O164))</f>
        <v/>
      </c>
    </row>
    <row r="165">
      <c r="A165" t="n">
        <v>184</v>
      </c>
      <c r="B165" t="inlineStr">
        <is>
          <t>Endowing a nonprofit organization</t>
        </is>
      </c>
      <c r="C165" t="n">
        <v>0</v>
      </c>
      <c r="D165" t="n">
        <v>3</v>
      </c>
      <c r="E165" t="n">
        <v>0</v>
      </c>
      <c r="F165" t="n">
        <v>0</v>
      </c>
      <c r="G165" t="b">
        <v>0</v>
      </c>
      <c r="H165" t="n">
        <v>0</v>
      </c>
      <c r="I165" t="n">
        <v>0</v>
      </c>
      <c r="J165" t="n">
        <v>0</v>
      </c>
      <c r="K165" t="n">
        <v>0</v>
      </c>
      <c r="L165" t="n">
        <v>6</v>
      </c>
      <c r="M165" t="n">
        <v>3</v>
      </c>
      <c r="N165" t="n">
        <v>0</v>
      </c>
      <c r="O165" t="n">
        <v>0</v>
      </c>
      <c r="P165" s="7">
        <f>IF(SUM(H165:K165)=0,"",H165/SUM(H165:K165))</f>
        <v/>
      </c>
      <c r="Q165" s="7">
        <f>IF(SUM(H165:K165)=0,"",I165/SUM(H165:K165))</f>
        <v/>
      </c>
      <c r="R165" s="7">
        <f>IF(SUM(H165:K165)=0,"",J165/SUM(H165:K165))</f>
        <v/>
      </c>
      <c r="S165" s="7">
        <f>IF(SUM(H165:K165)=0,"",K165/SUM(H165:K165))</f>
        <v/>
      </c>
      <c r="T165" s="7">
        <f>IF(SUM(L165:O165)=0,"",L165/SUM(L165:O165))</f>
        <v/>
      </c>
      <c r="U165" s="7">
        <f>IF(SUM(L165:O165)=0,"",M165/SUM(L165:O165))</f>
        <v/>
      </c>
      <c r="V165" s="7">
        <f>IF(SUM(L165:O165)=0,"",N165/SUM(L165:O165))</f>
        <v/>
      </c>
      <c r="W165" s="7">
        <f>IF(SUM(L165:O165)=0,"",O165/SUM(L165:O165))</f>
        <v/>
      </c>
    </row>
    <row r="166">
      <c r="A166" t="n">
        <v>185</v>
      </c>
      <c r="B166" t="inlineStr">
        <is>
          <t>A simple and efficient way to build an endowment and help create sustainability for local nonprofits.</t>
        </is>
      </c>
      <c r="C166" t="n">
        <v>0</v>
      </c>
      <c r="D166" t="n">
        <v>3</v>
      </c>
      <c r="E166" t="n">
        <v>0</v>
      </c>
      <c r="F166" t="n">
        <v>0</v>
      </c>
      <c r="G166" t="b">
        <v>0</v>
      </c>
      <c r="H166" t="n">
        <v>0</v>
      </c>
      <c r="I166" t="n">
        <v>0</v>
      </c>
      <c r="J166" t="n">
        <v>0</v>
      </c>
      <c r="K166" t="n">
        <v>0</v>
      </c>
      <c r="L166" t="n">
        <v>6</v>
      </c>
      <c r="M166" t="n">
        <v>3</v>
      </c>
      <c r="N166" t="n">
        <v>0</v>
      </c>
      <c r="O166" t="n">
        <v>0</v>
      </c>
      <c r="P166" s="7">
        <f>IF(SUM(H166:K166)=0,"",H166/SUM(H166:K166))</f>
        <v/>
      </c>
      <c r="Q166" s="7">
        <f>IF(SUM(H166:K166)=0,"",I166/SUM(H166:K166))</f>
        <v/>
      </c>
      <c r="R166" s="7">
        <f>IF(SUM(H166:K166)=0,"",J166/SUM(H166:K166))</f>
        <v/>
      </c>
      <c r="S166" s="7">
        <f>IF(SUM(H166:K166)=0,"",K166/SUM(H166:K166))</f>
        <v/>
      </c>
      <c r="T166" s="7">
        <f>IF(SUM(L166:O166)=0,"",L166/SUM(L166:O166))</f>
        <v/>
      </c>
      <c r="U166" s="7">
        <f>IF(SUM(L166:O166)=0,"",M166/SUM(L166:O166))</f>
        <v/>
      </c>
      <c r="V166" s="7">
        <f>IF(SUM(L166:O166)=0,"",N166/SUM(L166:O166))</f>
        <v/>
      </c>
      <c r="W166" s="7">
        <f>IF(SUM(L166:O166)=0,"",O166/SUM(L166:O166))</f>
        <v/>
      </c>
    </row>
    <row r="167">
      <c r="A167" t="n">
        <v>186</v>
      </c>
      <c r="B167" t="inlineStr">
        <is>
          <t>Community Investment Funds</t>
        </is>
      </c>
      <c r="C167" t="n">
        <v>0</v>
      </c>
      <c r="D167" t="n">
        <v>1</v>
      </c>
      <c r="E167" t="n">
        <v>0</v>
      </c>
      <c r="F167" t="n">
        <v>0</v>
      </c>
      <c r="G167" t="b">
        <v>0</v>
      </c>
      <c r="H167" t="n">
        <v>0</v>
      </c>
      <c r="I167" t="n">
        <v>0</v>
      </c>
      <c r="J167" t="n">
        <v>0</v>
      </c>
      <c r="K167" t="n">
        <v>0</v>
      </c>
      <c r="L167" t="n">
        <v>2</v>
      </c>
      <c r="M167" t="n">
        <v>0</v>
      </c>
      <c r="N167" t="n">
        <v>1</v>
      </c>
      <c r="O167" t="n">
        <v>0</v>
      </c>
      <c r="P167" s="7">
        <f>IF(SUM(H167:K167)=0,"",H167/SUM(H167:K167))</f>
        <v/>
      </c>
      <c r="Q167" s="7">
        <f>IF(SUM(H167:K167)=0,"",I167/SUM(H167:K167))</f>
        <v/>
      </c>
      <c r="R167" s="7">
        <f>IF(SUM(H167:K167)=0,"",J167/SUM(H167:K167))</f>
        <v/>
      </c>
      <c r="S167" s="7">
        <f>IF(SUM(H167:K167)=0,"",K167/SUM(H167:K167))</f>
        <v/>
      </c>
      <c r="T167" s="7">
        <f>IF(SUM(L167:O167)=0,"",L167/SUM(L167:O167))</f>
        <v/>
      </c>
      <c r="U167" s="7">
        <f>IF(SUM(L167:O167)=0,"",M167/SUM(L167:O167))</f>
        <v/>
      </c>
      <c r="V167" s="7">
        <f>IF(SUM(L167:O167)=0,"",N167/SUM(L167:O167))</f>
        <v/>
      </c>
      <c r="W167" s="7">
        <f>IF(SUM(L167:O167)=0,"",O167/SUM(L167:O167))</f>
        <v/>
      </c>
    </row>
    <row r="168">
      <c r="A168" t="n">
        <v>187</v>
      </c>
      <c r="B168" t="inlineStr">
        <is>
          <t>Meeting ever-changing needs</t>
        </is>
      </c>
      <c r="C168" t="n">
        <v>1</v>
      </c>
      <c r="D168" t="n">
        <v>2</v>
      </c>
      <c r="E168" t="n">
        <v>0</v>
      </c>
      <c r="F168" t="n">
        <v>0</v>
      </c>
      <c r="G168" t="b">
        <v>1</v>
      </c>
      <c r="H168" t="n">
        <v>2</v>
      </c>
      <c r="I168" t="n">
        <v>0</v>
      </c>
      <c r="J168" t="n">
        <v>0</v>
      </c>
      <c r="K168" t="n">
        <v>0</v>
      </c>
      <c r="L168" t="n">
        <v>4</v>
      </c>
      <c r="M168" t="n">
        <v>0</v>
      </c>
      <c r="N168" t="n">
        <v>2</v>
      </c>
      <c r="O168" t="n">
        <v>0</v>
      </c>
      <c r="P168" s="7">
        <f>IF(SUM(H168:K168)=0,"",H168/SUM(H168:K168))</f>
        <v/>
      </c>
      <c r="Q168" s="7">
        <f>IF(SUM(H168:K168)=0,"",I168/SUM(H168:K168))</f>
        <v/>
      </c>
      <c r="R168" s="7">
        <f>IF(SUM(H168:K168)=0,"",J168/SUM(H168:K168))</f>
        <v/>
      </c>
      <c r="S168" s="7">
        <f>IF(SUM(H168:K168)=0,"",K168/SUM(H168:K168))</f>
        <v/>
      </c>
      <c r="T168" s="7">
        <f>IF(SUM(L168:O168)=0,"",L168/SUM(L168:O168))</f>
        <v/>
      </c>
      <c r="U168" s="7">
        <f>IF(SUM(L168:O168)=0,"",M168/SUM(L168:O168))</f>
        <v/>
      </c>
      <c r="V168" s="7">
        <f>IF(SUM(L168:O168)=0,"",N168/SUM(L168:O168))</f>
        <v/>
      </c>
      <c r="W168" s="7">
        <f>IF(SUM(L168:O168)=0,"",O168/SUM(L168:O168))</f>
        <v/>
      </c>
    </row>
    <row r="169">
      <c r="A169" t="n">
        <v>188</v>
      </c>
      <c r="B169" t="inlineStr">
        <is>
          <t>Help address a broad range of local needs, including future needs that often cannot be anticipated today.</t>
        </is>
      </c>
      <c r="C169" t="n">
        <v>1</v>
      </c>
      <c r="D169" t="n">
        <v>2</v>
      </c>
      <c r="E169" t="n">
        <v>0</v>
      </c>
      <c r="F169" t="n">
        <v>0</v>
      </c>
      <c r="G169" t="b">
        <v>1</v>
      </c>
      <c r="H169" t="n">
        <v>2</v>
      </c>
      <c r="I169" t="n">
        <v>0</v>
      </c>
      <c r="J169" t="n">
        <v>1</v>
      </c>
      <c r="K169" t="n">
        <v>0</v>
      </c>
      <c r="L169" t="n">
        <v>4</v>
      </c>
      <c r="M169" t="n">
        <v>0</v>
      </c>
      <c r="N169" t="n">
        <v>2</v>
      </c>
      <c r="O169" t="n">
        <v>0</v>
      </c>
      <c r="P169" s="7">
        <f>IF(SUM(H169:K169)=0,"",H169/SUM(H169:K169))</f>
        <v/>
      </c>
      <c r="Q169" s="7">
        <f>IF(SUM(H169:K169)=0,"",I169/SUM(H169:K169))</f>
        <v/>
      </c>
      <c r="R169" s="7">
        <f>IF(SUM(H169:K169)=0,"",J169/SUM(H169:K169))</f>
        <v/>
      </c>
      <c r="S169" s="7">
        <f>IF(SUM(H169:K169)=0,"",K169/SUM(H169:K169))</f>
        <v/>
      </c>
      <c r="T169" s="7">
        <f>IF(SUM(L169:O169)=0,"",L169/SUM(L169:O169))</f>
        <v/>
      </c>
      <c r="U169" s="7">
        <f>IF(SUM(L169:O169)=0,"",M169/SUM(L169:O169))</f>
        <v/>
      </c>
      <c r="V169" s="7">
        <f>IF(SUM(L169:O169)=0,"",N169/SUM(L169:O169))</f>
        <v/>
      </c>
      <c r="W169" s="7">
        <f>IF(SUM(L169:O169)=0,"",O169/SUM(L169:O169))</f>
        <v/>
      </c>
    </row>
    <row r="170">
      <c r="A170" t="n">
        <v>189</v>
      </c>
      <c r="B170" t="inlineStr">
        <is>
          <t>Designated Funds</t>
        </is>
      </c>
      <c r="C170" t="n">
        <v>0</v>
      </c>
      <c r="D170" t="n">
        <v>1</v>
      </c>
      <c r="E170" t="n">
        <v>0</v>
      </c>
      <c r="F170" t="n">
        <v>0</v>
      </c>
      <c r="G170" t="b">
        <v>0</v>
      </c>
      <c r="H170" t="n">
        <v>0</v>
      </c>
      <c r="I170" t="n">
        <v>0</v>
      </c>
      <c r="J170" t="n">
        <v>0</v>
      </c>
      <c r="K170" t="n">
        <v>0</v>
      </c>
      <c r="L170" t="n">
        <v>1</v>
      </c>
      <c r="M170" t="n">
        <v>2</v>
      </c>
      <c r="N170" t="n">
        <v>0</v>
      </c>
      <c r="O170" t="n">
        <v>0</v>
      </c>
      <c r="P170" s="7">
        <f>IF(SUM(H170:K170)=0,"",H170/SUM(H170:K170))</f>
        <v/>
      </c>
      <c r="Q170" s="7">
        <f>IF(SUM(H170:K170)=0,"",I170/SUM(H170:K170))</f>
        <v/>
      </c>
      <c r="R170" s="7">
        <f>IF(SUM(H170:K170)=0,"",J170/SUM(H170:K170))</f>
        <v/>
      </c>
      <c r="S170" s="7">
        <f>IF(SUM(H170:K170)=0,"",K170/SUM(H170:K170))</f>
        <v/>
      </c>
      <c r="T170" s="7">
        <f>IF(SUM(L170:O170)=0,"",L170/SUM(L170:O170))</f>
        <v/>
      </c>
      <c r="U170" s="7">
        <f>IF(SUM(L170:O170)=0,"",M170/SUM(L170:O170))</f>
        <v/>
      </c>
      <c r="V170" s="7">
        <f>IF(SUM(L170:O170)=0,"",N170/SUM(L170:O170))</f>
        <v/>
      </c>
      <c r="W170" s="7">
        <f>IF(SUM(L170:O170)=0,"",O170/SUM(L170:O170))</f>
        <v/>
      </c>
    </row>
    <row r="171">
      <c r="A171" t="n">
        <v>190</v>
      </c>
      <c r="B171" t="inlineStr">
        <is>
          <t>Helping local organizations sustain and grow</t>
        </is>
      </c>
      <c r="C171" t="n">
        <v>0</v>
      </c>
      <c r="D171" t="n">
        <v>3</v>
      </c>
      <c r="E171" t="n">
        <v>0</v>
      </c>
      <c r="F171" t="n">
        <v>0</v>
      </c>
      <c r="G171" t="b">
        <v>0</v>
      </c>
      <c r="H171" t="n">
        <v>0</v>
      </c>
      <c r="I171" t="n">
        <v>0</v>
      </c>
      <c r="J171" t="n">
        <v>0</v>
      </c>
      <c r="K171" t="n">
        <v>0</v>
      </c>
      <c r="L171" t="n">
        <v>6</v>
      </c>
      <c r="M171" t="n">
        <v>3</v>
      </c>
      <c r="N171" t="n">
        <v>0</v>
      </c>
      <c r="O171" t="n">
        <v>0</v>
      </c>
      <c r="P171" s="7">
        <f>IF(SUM(H171:K171)=0,"",H171/SUM(H171:K171))</f>
        <v/>
      </c>
      <c r="Q171" s="7">
        <f>IF(SUM(H171:K171)=0,"",I171/SUM(H171:K171))</f>
        <v/>
      </c>
      <c r="R171" s="7">
        <f>IF(SUM(H171:K171)=0,"",J171/SUM(H171:K171))</f>
        <v/>
      </c>
      <c r="S171" s="7">
        <f>IF(SUM(H171:K171)=0,"",K171/SUM(H171:K171))</f>
        <v/>
      </c>
      <c r="T171" s="7">
        <f>IF(SUM(L171:O171)=0,"",L171/SUM(L171:O171))</f>
        <v/>
      </c>
      <c r="U171" s="7">
        <f>IF(SUM(L171:O171)=0,"",M171/SUM(L171:O171))</f>
        <v/>
      </c>
      <c r="V171" s="7">
        <f>IF(SUM(L171:O171)=0,"",N171/SUM(L171:O171))</f>
        <v/>
      </c>
      <c r="W171" s="7">
        <f>IF(SUM(L171:O171)=0,"",O171/SUM(L171:O171))</f>
        <v/>
      </c>
    </row>
    <row r="172">
      <c r="A172" t="n">
        <v>191</v>
      </c>
      <c r="B172" t="inlineStr">
        <is>
          <t>Make a lasting impact for a particular nonprofit organization - a senior center, museum, or other organization.</t>
        </is>
      </c>
      <c r="C172" t="n">
        <v>0</v>
      </c>
      <c r="D172" t="n">
        <v>2</v>
      </c>
      <c r="E172" t="n">
        <v>0</v>
      </c>
      <c r="F172" t="n">
        <v>0</v>
      </c>
      <c r="G172" t="b">
        <v>0</v>
      </c>
      <c r="H172" t="n">
        <v>0</v>
      </c>
      <c r="I172" t="n">
        <v>0</v>
      </c>
      <c r="J172" t="n">
        <v>0</v>
      </c>
      <c r="K172" t="n">
        <v>0</v>
      </c>
      <c r="L172" t="n">
        <v>2</v>
      </c>
      <c r="M172" t="n">
        <v>4</v>
      </c>
      <c r="N172" t="n">
        <v>0</v>
      </c>
      <c r="O172" t="n">
        <v>0</v>
      </c>
      <c r="P172" s="7">
        <f>IF(SUM(H172:K172)=0,"",H172/SUM(H172:K172))</f>
        <v/>
      </c>
      <c r="Q172" s="7">
        <f>IF(SUM(H172:K172)=0,"",I172/SUM(H172:K172))</f>
        <v/>
      </c>
      <c r="R172" s="7">
        <f>IF(SUM(H172:K172)=0,"",J172/SUM(H172:K172))</f>
        <v/>
      </c>
      <c r="S172" s="7">
        <f>IF(SUM(H172:K172)=0,"",K172/SUM(H172:K172))</f>
        <v/>
      </c>
      <c r="T172" s="7">
        <f>IF(SUM(L172:O172)=0,"",L172/SUM(L172:O172))</f>
        <v/>
      </c>
      <c r="U172" s="7">
        <f>IF(SUM(L172:O172)=0,"",M172/SUM(L172:O172))</f>
        <v/>
      </c>
      <c r="V172" s="7">
        <f>IF(SUM(L172:O172)=0,"",N172/SUM(L172:O172))</f>
        <v/>
      </c>
      <c r="W172" s="7">
        <f>IF(SUM(L172:O172)=0,"",O172/SUM(L172:O172))</f>
        <v/>
      </c>
    </row>
    <row r="173">
      <c r="A173" t="n">
        <v>192</v>
      </c>
      <c r="B173" t="inlineStr">
        <is>
          <t>Donor-Advised Funds</t>
        </is>
      </c>
      <c r="C173" t="n">
        <v>1</v>
      </c>
      <c r="D173" t="n">
        <v>1</v>
      </c>
      <c r="E173" t="n">
        <v>0</v>
      </c>
      <c r="F173" t="n">
        <v>0</v>
      </c>
      <c r="G173" t="b">
        <v>1</v>
      </c>
      <c r="H173" t="n">
        <v>0</v>
      </c>
      <c r="I173" t="n">
        <v>2</v>
      </c>
      <c r="J173" t="n">
        <v>0</v>
      </c>
      <c r="K173" t="n">
        <v>0</v>
      </c>
      <c r="L173" t="n">
        <v>1</v>
      </c>
      <c r="M173" t="n">
        <v>2</v>
      </c>
      <c r="N173" t="n">
        <v>0</v>
      </c>
      <c r="O173" t="n">
        <v>0</v>
      </c>
      <c r="P173" s="7">
        <f>IF(SUM(H173:K173)=0,"",H173/SUM(H173:K173))</f>
        <v/>
      </c>
      <c r="Q173" s="7">
        <f>IF(SUM(H173:K173)=0,"",I173/SUM(H173:K173))</f>
        <v/>
      </c>
      <c r="R173" s="7">
        <f>IF(SUM(H173:K173)=0,"",J173/SUM(H173:K173))</f>
        <v/>
      </c>
      <c r="S173" s="7">
        <f>IF(SUM(H173:K173)=0,"",K173/SUM(H173:K173))</f>
        <v/>
      </c>
      <c r="T173" s="7">
        <f>IF(SUM(L173:O173)=0,"",L173/SUM(L173:O173))</f>
        <v/>
      </c>
      <c r="U173" s="7">
        <f>IF(SUM(L173:O173)=0,"",M173/SUM(L173:O173))</f>
        <v/>
      </c>
      <c r="V173" s="7">
        <f>IF(SUM(L173:O173)=0,"",N173/SUM(L173:O173))</f>
        <v/>
      </c>
      <c r="W173" s="7">
        <f>IF(SUM(L173:O173)=0,"",O173/SUM(L173:O173))</f>
        <v/>
      </c>
    </row>
    <row r="174">
      <c r="A174" t="n">
        <v>193</v>
      </c>
      <c r="B174" t="inlineStr">
        <is>
          <t>A personal approach to giving</t>
        </is>
      </c>
      <c r="C174" t="n">
        <v>1</v>
      </c>
      <c r="D174" t="n">
        <v>2</v>
      </c>
      <c r="E174" t="n">
        <v>0</v>
      </c>
      <c r="F174" t="n">
        <v>0</v>
      </c>
      <c r="G174" t="b">
        <v>1</v>
      </c>
      <c r="H174" t="n">
        <v>0</v>
      </c>
      <c r="I174" t="n">
        <v>2</v>
      </c>
      <c r="J174" t="n">
        <v>0</v>
      </c>
      <c r="K174" t="n">
        <v>0</v>
      </c>
      <c r="L174" t="n">
        <v>2</v>
      </c>
      <c r="M174" t="n">
        <v>4</v>
      </c>
      <c r="N174" t="n">
        <v>0</v>
      </c>
      <c r="O174" t="n">
        <v>0</v>
      </c>
      <c r="P174" s="7">
        <f>IF(SUM(H174:K174)=0,"",H174/SUM(H174:K174))</f>
        <v/>
      </c>
      <c r="Q174" s="7">
        <f>IF(SUM(H174:K174)=0,"",I174/SUM(H174:K174))</f>
        <v/>
      </c>
      <c r="R174" s="7">
        <f>IF(SUM(H174:K174)=0,"",J174/SUM(H174:K174))</f>
        <v/>
      </c>
      <c r="S174" s="7">
        <f>IF(SUM(H174:K174)=0,"",K174/SUM(H174:K174))</f>
        <v/>
      </c>
      <c r="T174" s="7">
        <f>IF(SUM(L174:O174)=0,"",L174/SUM(L174:O174))</f>
        <v/>
      </c>
      <c r="U174" s="7">
        <f>IF(SUM(L174:O174)=0,"",M174/SUM(L174:O174))</f>
        <v/>
      </c>
      <c r="V174" s="7">
        <f>IF(SUM(L174:O174)=0,"",N174/SUM(L174:O174))</f>
        <v/>
      </c>
      <c r="W174" s="7">
        <f>IF(SUM(L174:O174)=0,"",O174/SUM(L174:O174))</f>
        <v/>
      </c>
    </row>
    <row r="175">
      <c r="A175" t="n">
        <v>194</v>
      </c>
      <c r="B175" t="inlineStr">
        <is>
          <t>Be actively involved in grantmaking with a simple, powerful personal approach to giving that is oftentimes called a "charitable checking account."</t>
        </is>
      </c>
      <c r="C175" t="n">
        <v>1</v>
      </c>
      <c r="D175" t="n">
        <v>2</v>
      </c>
      <c r="E175" t="n">
        <v>0</v>
      </c>
      <c r="F175" t="n">
        <v>0</v>
      </c>
      <c r="G175" t="b">
        <v>1</v>
      </c>
      <c r="H175" t="n">
        <v>0</v>
      </c>
      <c r="I175" t="n">
        <v>2</v>
      </c>
      <c r="J175" t="n">
        <v>0</v>
      </c>
      <c r="K175" t="n">
        <v>0</v>
      </c>
      <c r="L175" t="n">
        <v>2</v>
      </c>
      <c r="M175" t="n">
        <v>4</v>
      </c>
      <c r="N175" t="n">
        <v>0</v>
      </c>
      <c r="O175" t="n">
        <v>0</v>
      </c>
      <c r="P175" s="7">
        <f>IF(SUM(H175:K175)=0,"",H175/SUM(H175:K175))</f>
        <v/>
      </c>
      <c r="Q175" s="7">
        <f>IF(SUM(H175:K175)=0,"",I175/SUM(H175:K175))</f>
        <v/>
      </c>
      <c r="R175" s="7">
        <f>IF(SUM(H175:K175)=0,"",J175/SUM(H175:K175))</f>
        <v/>
      </c>
      <c r="S175" s="7">
        <f>IF(SUM(H175:K175)=0,"",K175/SUM(H175:K175))</f>
        <v/>
      </c>
      <c r="T175" s="7">
        <f>IF(SUM(L175:O175)=0,"",L175/SUM(L175:O175))</f>
        <v/>
      </c>
      <c r="U175" s="7">
        <f>IF(SUM(L175:O175)=0,"",M175/SUM(L175:O175))</f>
        <v/>
      </c>
      <c r="V175" s="7">
        <f>IF(SUM(L175:O175)=0,"",N175/SUM(L175:O175))</f>
        <v/>
      </c>
      <c r="W175" s="7">
        <f>IF(SUM(L175:O175)=0,"",O175/SUM(L175:O175))</f>
        <v/>
      </c>
    </row>
    <row r="176">
      <c r="A176" t="n">
        <v>195</v>
      </c>
      <c r="B176" t="inlineStr">
        <is>
          <t>Field-Of-Interest Funds</t>
        </is>
      </c>
      <c r="C176" t="n">
        <v>1</v>
      </c>
      <c r="D176" t="n">
        <v>1</v>
      </c>
      <c r="E176" t="n">
        <v>0</v>
      </c>
      <c r="F176" t="n">
        <v>0</v>
      </c>
      <c r="G176" t="b">
        <v>1</v>
      </c>
      <c r="H176" t="n">
        <v>0</v>
      </c>
      <c r="I176" t="n">
        <v>2</v>
      </c>
      <c r="J176" t="n">
        <v>0</v>
      </c>
      <c r="K176" t="n">
        <v>0</v>
      </c>
      <c r="L176" t="n">
        <v>1</v>
      </c>
      <c r="M176" t="n">
        <v>2</v>
      </c>
      <c r="N176" t="n">
        <v>0</v>
      </c>
      <c r="O176" t="n">
        <v>0</v>
      </c>
      <c r="P176" s="7">
        <f>IF(SUM(H176:K176)=0,"",H176/SUM(H176:K176))</f>
        <v/>
      </c>
      <c r="Q176" s="7">
        <f>IF(SUM(H176:K176)=0,"",I176/SUM(H176:K176))</f>
        <v/>
      </c>
      <c r="R176" s="7">
        <f>IF(SUM(H176:K176)=0,"",J176/SUM(H176:K176))</f>
        <v/>
      </c>
      <c r="S176" s="7">
        <f>IF(SUM(H176:K176)=0,"",K176/SUM(H176:K176))</f>
        <v/>
      </c>
      <c r="T176" s="7">
        <f>IF(SUM(L176:O176)=0,"",L176/SUM(L176:O176))</f>
        <v/>
      </c>
      <c r="U176" s="7">
        <f>IF(SUM(L176:O176)=0,"",M176/SUM(L176:O176))</f>
        <v/>
      </c>
      <c r="V176" s="7">
        <f>IF(SUM(L176:O176)=0,"",N176/SUM(L176:O176))</f>
        <v/>
      </c>
      <c r="W176" s="7">
        <f>IF(SUM(L176:O176)=0,"",O176/SUM(L176:O176))</f>
        <v/>
      </c>
    </row>
    <row r="177">
      <c r="A177" t="n">
        <v>196</v>
      </c>
      <c r="B177" t="inlineStr">
        <is>
          <t>Connecting personal values to high-impact opportunities</t>
        </is>
      </c>
      <c r="C177" t="n">
        <v>1</v>
      </c>
      <c r="D177" t="n">
        <v>2</v>
      </c>
      <c r="E177" t="n">
        <v>0</v>
      </c>
      <c r="F177" t="n">
        <v>0</v>
      </c>
      <c r="G177" t="b">
        <v>1</v>
      </c>
      <c r="H177" t="n">
        <v>0</v>
      </c>
      <c r="I177" t="n">
        <v>2</v>
      </c>
      <c r="J177" t="n">
        <v>0</v>
      </c>
      <c r="K177" t="n">
        <v>0</v>
      </c>
      <c r="L177" t="n">
        <v>0</v>
      </c>
      <c r="M177" t="n">
        <v>4</v>
      </c>
      <c r="N177" t="n">
        <v>2</v>
      </c>
      <c r="O177" t="n">
        <v>0</v>
      </c>
      <c r="P177" s="7">
        <f>IF(SUM(H177:K177)=0,"",H177/SUM(H177:K177))</f>
        <v/>
      </c>
      <c r="Q177" s="7">
        <f>IF(SUM(H177:K177)=0,"",I177/SUM(H177:K177))</f>
        <v/>
      </c>
      <c r="R177" s="7">
        <f>IF(SUM(H177:K177)=0,"",J177/SUM(H177:K177))</f>
        <v/>
      </c>
      <c r="S177" s="7">
        <f>IF(SUM(H177:K177)=0,"",K177/SUM(H177:K177))</f>
        <v/>
      </c>
      <c r="T177" s="7">
        <f>IF(SUM(L177:O177)=0,"",L177/SUM(L177:O177))</f>
        <v/>
      </c>
      <c r="U177" s="7">
        <f>IF(SUM(L177:O177)=0,"",M177/SUM(L177:O177))</f>
        <v/>
      </c>
      <c r="V177" s="7">
        <f>IF(SUM(L177:O177)=0,"",N177/SUM(L177:O177))</f>
        <v/>
      </c>
      <c r="W177" s="7">
        <f>IF(SUM(L177:O177)=0,"",O177/SUM(L177:O177))</f>
        <v/>
      </c>
    </row>
    <row r="178">
      <c r="A178" t="n">
        <v>197</v>
      </c>
      <c r="B178" t="inlineStr">
        <is>
          <t>Target specific areas of community investment such as arts, recreation, youth development, or other initiatives you are passionate about.</t>
        </is>
      </c>
      <c r="C178" t="n">
        <v>1</v>
      </c>
      <c r="D178" t="n">
        <v>2</v>
      </c>
      <c r="E178" t="n">
        <v>0</v>
      </c>
      <c r="F178" t="n">
        <v>0</v>
      </c>
      <c r="G178" t="b">
        <v>1</v>
      </c>
      <c r="H178" t="n">
        <v>0</v>
      </c>
      <c r="I178" t="n">
        <v>2</v>
      </c>
      <c r="J178" t="n">
        <v>0</v>
      </c>
      <c r="K178" t="n">
        <v>0</v>
      </c>
      <c r="L178" t="n">
        <v>2</v>
      </c>
      <c r="M178" t="n">
        <v>4</v>
      </c>
      <c r="N178" t="n">
        <v>0</v>
      </c>
      <c r="O178" t="n">
        <v>0</v>
      </c>
      <c r="P178" s="7">
        <f>IF(SUM(H178:K178)=0,"",H178/SUM(H178:K178))</f>
        <v/>
      </c>
      <c r="Q178" s="7">
        <f>IF(SUM(H178:K178)=0,"",I178/SUM(H178:K178))</f>
        <v/>
      </c>
      <c r="R178" s="7">
        <f>IF(SUM(H178:K178)=0,"",J178/SUM(H178:K178))</f>
        <v/>
      </c>
      <c r="S178" s="7">
        <f>IF(SUM(H178:K178)=0,"",K178/SUM(H178:K178))</f>
        <v/>
      </c>
      <c r="T178" s="7">
        <f>IF(SUM(L178:O178)=0,"",L178/SUM(L178:O178))</f>
        <v/>
      </c>
      <c r="U178" s="7">
        <f>IF(SUM(L178:O178)=0,"",M178/SUM(L178:O178))</f>
        <v/>
      </c>
      <c r="V178" s="7">
        <f>IF(SUM(L178:O178)=0,"",N178/SUM(L178:O178))</f>
        <v/>
      </c>
      <c r="W178" s="7">
        <f>IF(SUM(L178:O178)=0,"",O178/SUM(L178:O178))</f>
        <v/>
      </c>
    </row>
    <row r="179">
      <c r="A179" t="n">
        <v>198</v>
      </c>
      <c r="B179" t="inlineStr">
        <is>
          <t>Giving Circle Funds</t>
        </is>
      </c>
      <c r="C179" t="n">
        <v>0</v>
      </c>
      <c r="D179" t="n">
        <v>1</v>
      </c>
      <c r="E179" t="n">
        <v>0</v>
      </c>
      <c r="F179" t="n">
        <v>0</v>
      </c>
      <c r="G179" t="b">
        <v>0</v>
      </c>
      <c r="H179" t="n">
        <v>0</v>
      </c>
      <c r="I179" t="n">
        <v>0</v>
      </c>
      <c r="J179" t="n">
        <v>0</v>
      </c>
      <c r="K179" t="n">
        <v>0</v>
      </c>
      <c r="L179" t="n">
        <v>1</v>
      </c>
      <c r="M179" t="n">
        <v>2</v>
      </c>
      <c r="N179" t="n">
        <v>0</v>
      </c>
      <c r="O179" t="n">
        <v>0</v>
      </c>
      <c r="P179" s="7">
        <f>IF(SUM(H179:K179)=0,"",H179/SUM(H179:K179))</f>
        <v/>
      </c>
      <c r="Q179" s="7">
        <f>IF(SUM(H179:K179)=0,"",I179/SUM(H179:K179))</f>
        <v/>
      </c>
      <c r="R179" s="7">
        <f>IF(SUM(H179:K179)=0,"",J179/SUM(H179:K179))</f>
        <v/>
      </c>
      <c r="S179" s="7">
        <f>IF(SUM(H179:K179)=0,"",K179/SUM(H179:K179))</f>
        <v/>
      </c>
      <c r="T179" s="7">
        <f>IF(SUM(L179:O179)=0,"",L179/SUM(L179:O179))</f>
        <v/>
      </c>
      <c r="U179" s="7">
        <f>IF(SUM(L179:O179)=0,"",M179/SUM(L179:O179))</f>
        <v/>
      </c>
      <c r="V179" s="7">
        <f>IF(SUM(L179:O179)=0,"",N179/SUM(L179:O179))</f>
        <v/>
      </c>
      <c r="W179" s="7">
        <f>IF(SUM(L179:O179)=0,"",O179/SUM(L179:O179))</f>
        <v/>
      </c>
    </row>
    <row r="180">
      <c r="A180" t="n">
        <v>199</v>
      </c>
      <c r="B180" t="inlineStr">
        <is>
          <t>Giving with a group</t>
        </is>
      </c>
      <c r="C180" t="n">
        <v>0</v>
      </c>
      <c r="D180" t="n">
        <v>1</v>
      </c>
      <c r="E180" t="n">
        <v>0</v>
      </c>
      <c r="F180" t="n">
        <v>0</v>
      </c>
      <c r="G180" t="b">
        <v>0</v>
      </c>
      <c r="H180" t="n">
        <v>0</v>
      </c>
      <c r="I180" t="n">
        <v>0</v>
      </c>
      <c r="J180" t="n">
        <v>0</v>
      </c>
      <c r="K180" t="n">
        <v>0</v>
      </c>
      <c r="L180" t="n">
        <v>1</v>
      </c>
      <c r="M180" t="n">
        <v>2</v>
      </c>
      <c r="N180" t="n">
        <v>0</v>
      </c>
      <c r="O180" t="n">
        <v>0</v>
      </c>
      <c r="P180" s="7">
        <f>IF(SUM(H180:K180)=0,"",H180/SUM(H180:K180))</f>
        <v/>
      </c>
      <c r="Q180" s="7">
        <f>IF(SUM(H180:K180)=0,"",I180/SUM(H180:K180))</f>
        <v/>
      </c>
      <c r="R180" s="7">
        <f>IF(SUM(H180:K180)=0,"",J180/SUM(H180:K180))</f>
        <v/>
      </c>
      <c r="S180" s="7">
        <f>IF(SUM(H180:K180)=0,"",K180/SUM(H180:K180))</f>
        <v/>
      </c>
      <c r="T180" s="7">
        <f>IF(SUM(L180:O180)=0,"",L180/SUM(L180:O180))</f>
        <v/>
      </c>
      <c r="U180" s="7">
        <f>IF(SUM(L180:O180)=0,"",M180/SUM(L180:O180))</f>
        <v/>
      </c>
      <c r="V180" s="7">
        <f>IF(SUM(L180:O180)=0,"",N180/SUM(L180:O180))</f>
        <v/>
      </c>
      <c r="W180" s="7">
        <f>IF(SUM(L180:O180)=0,"",O180/SUM(L180:O180))</f>
        <v/>
      </c>
    </row>
    <row r="181">
      <c r="A181" t="n">
        <v>200</v>
      </c>
      <c r="B181" t="inlineStr">
        <is>
          <t>Combine your contributions with other like-minded individuals so that everyone can collectively make a lasting difference on the causes they value. [community_foundation_tag]'ll manage the details while your group focuses on making an impact.</t>
        </is>
      </c>
      <c r="C181" t="n">
        <v>0</v>
      </c>
      <c r="D181" t="n">
        <v>3</v>
      </c>
      <c r="E181" t="n">
        <v>0</v>
      </c>
      <c r="F181" t="n">
        <v>0</v>
      </c>
      <c r="G181" t="b">
        <v>0</v>
      </c>
      <c r="H181" t="n">
        <v>0</v>
      </c>
      <c r="I181" t="n">
        <v>0</v>
      </c>
      <c r="J181" t="n">
        <v>0</v>
      </c>
      <c r="K181" t="n">
        <v>0</v>
      </c>
      <c r="L181" t="n">
        <v>3</v>
      </c>
      <c r="M181" t="n">
        <v>6</v>
      </c>
      <c r="N181" t="n">
        <v>0</v>
      </c>
      <c r="O181" t="n">
        <v>0</v>
      </c>
      <c r="P181" s="7">
        <f>IF(SUM(H181:K181)=0,"",H181/SUM(H181:K181))</f>
        <v/>
      </c>
      <c r="Q181" s="7">
        <f>IF(SUM(H181:K181)=0,"",I181/SUM(H181:K181))</f>
        <v/>
      </c>
      <c r="R181" s="7">
        <f>IF(SUM(H181:K181)=0,"",J181/SUM(H181:K181))</f>
        <v/>
      </c>
      <c r="S181" s="7">
        <f>IF(SUM(H181:K181)=0,"",K181/SUM(H181:K181))</f>
        <v/>
      </c>
      <c r="T181" s="7">
        <f>IF(SUM(L181:O181)=0,"",L181/SUM(L181:O181))</f>
        <v/>
      </c>
      <c r="U181" s="7">
        <f>IF(SUM(L181:O181)=0,"",M181/SUM(L181:O181))</f>
        <v/>
      </c>
      <c r="V181" s="7">
        <f>IF(SUM(L181:O181)=0,"",N181/SUM(L181:O181))</f>
        <v/>
      </c>
      <c r="W181" s="7">
        <f>IF(SUM(L181:O181)=0,"",O181/SUM(L181:O181))</f>
        <v/>
      </c>
    </row>
    <row r="182">
      <c r="A182" t="n">
        <v>201</v>
      </c>
      <c r="B182" t="inlineStr">
        <is>
          <t>Project Funds</t>
        </is>
      </c>
      <c r="C182" t="n">
        <v>0</v>
      </c>
      <c r="D182" t="n">
        <v>1</v>
      </c>
      <c r="E182" t="n">
        <v>0</v>
      </c>
      <c r="F182" t="n">
        <v>0</v>
      </c>
      <c r="G182" t="b">
        <v>0</v>
      </c>
      <c r="H182" t="n">
        <v>0</v>
      </c>
      <c r="I182" t="n">
        <v>0</v>
      </c>
      <c r="J182" t="n">
        <v>0</v>
      </c>
      <c r="K182" t="n">
        <v>0</v>
      </c>
      <c r="L182" t="n">
        <v>1</v>
      </c>
      <c r="M182" t="n">
        <v>2</v>
      </c>
      <c r="N182" t="n">
        <v>0</v>
      </c>
      <c r="O182" t="n">
        <v>0</v>
      </c>
      <c r="P182" s="7">
        <f>IF(SUM(H182:K182)=0,"",H182/SUM(H182:K182))</f>
        <v/>
      </c>
      <c r="Q182" s="7">
        <f>IF(SUM(H182:K182)=0,"",I182/SUM(H182:K182))</f>
        <v/>
      </c>
      <c r="R182" s="7">
        <f>IF(SUM(H182:K182)=0,"",J182/SUM(H182:K182))</f>
        <v/>
      </c>
      <c r="S182" s="7">
        <f>IF(SUM(H182:K182)=0,"",K182/SUM(H182:K182))</f>
        <v/>
      </c>
      <c r="T182" s="7">
        <f>IF(SUM(L182:O182)=0,"",L182/SUM(L182:O182))</f>
        <v/>
      </c>
      <c r="U182" s="7">
        <f>IF(SUM(L182:O182)=0,"",M182/SUM(L182:O182))</f>
        <v/>
      </c>
      <c r="V182" s="7">
        <f>IF(SUM(L182:O182)=0,"",N182/SUM(L182:O182))</f>
        <v/>
      </c>
      <c r="W182" s="7">
        <f>IF(SUM(L182:O182)=0,"",O182/SUM(L182:O182))</f>
        <v/>
      </c>
    </row>
    <row r="183">
      <c r="A183" t="n">
        <v>202</v>
      </c>
      <c r="B183" t="inlineStr">
        <is>
          <t>Focus on fundraising, not fund management</t>
        </is>
      </c>
      <c r="C183" t="n">
        <v>0</v>
      </c>
      <c r="D183" t="n">
        <v>2</v>
      </c>
      <c r="E183" t="n">
        <v>0</v>
      </c>
      <c r="F183" t="n">
        <v>0</v>
      </c>
      <c r="G183" t="b">
        <v>0</v>
      </c>
      <c r="H183" t="n">
        <v>0</v>
      </c>
      <c r="I183" t="n">
        <v>0</v>
      </c>
      <c r="J183" t="n">
        <v>0</v>
      </c>
      <c r="K183" t="n">
        <v>0</v>
      </c>
      <c r="L183" t="n">
        <v>2</v>
      </c>
      <c r="M183" t="n">
        <v>4</v>
      </c>
      <c r="N183" t="n">
        <v>0</v>
      </c>
      <c r="O183" t="n">
        <v>0</v>
      </c>
      <c r="P183" s="7">
        <f>IF(SUM(H183:K183)=0,"",H183/SUM(H183:K183))</f>
        <v/>
      </c>
      <c r="Q183" s="7">
        <f>IF(SUM(H183:K183)=0,"",I183/SUM(H183:K183))</f>
        <v/>
      </c>
      <c r="R183" s="7">
        <f>IF(SUM(H183:K183)=0,"",J183/SUM(H183:K183))</f>
        <v/>
      </c>
      <c r="S183" s="7">
        <f>IF(SUM(H183:K183)=0,"",K183/SUM(H183:K183))</f>
        <v/>
      </c>
      <c r="T183" s="7">
        <f>IF(SUM(L183:O183)=0,"",L183/SUM(L183:O183))</f>
        <v/>
      </c>
      <c r="U183" s="7">
        <f>IF(SUM(L183:O183)=0,"",M183/SUM(L183:O183))</f>
        <v/>
      </c>
      <c r="V183" s="7">
        <f>IF(SUM(L183:O183)=0,"",N183/SUM(L183:O183))</f>
        <v/>
      </c>
      <c r="W183" s="7">
        <f>IF(SUM(L183:O183)=0,"",O183/SUM(L183:O183))</f>
        <v/>
      </c>
    </row>
    <row r="184">
      <c r="A184" t="n">
        <v>203</v>
      </c>
      <c r="B184" t="inlineStr">
        <is>
          <t>The ideal vehicle for a short-term community project.</t>
        </is>
      </c>
      <c r="C184" t="n">
        <v>1</v>
      </c>
      <c r="D184" t="n">
        <v>2</v>
      </c>
      <c r="E184" t="n">
        <v>0</v>
      </c>
      <c r="F184" t="n">
        <v>0</v>
      </c>
      <c r="G184" t="b">
        <v>1</v>
      </c>
      <c r="H184" t="n">
        <v>2</v>
      </c>
      <c r="I184" t="n">
        <v>0</v>
      </c>
      <c r="J184" t="n">
        <v>0</v>
      </c>
      <c r="K184" t="n">
        <v>0</v>
      </c>
      <c r="L184" t="n">
        <v>2</v>
      </c>
      <c r="M184" t="n">
        <v>4</v>
      </c>
      <c r="N184" t="n">
        <v>0</v>
      </c>
      <c r="O184" t="n">
        <v>0</v>
      </c>
      <c r="P184" s="7">
        <f>IF(SUM(H184:K184)=0,"",H184/SUM(H184:K184))</f>
        <v/>
      </c>
      <c r="Q184" s="7">
        <f>IF(SUM(H184:K184)=0,"",I184/SUM(H184:K184))</f>
        <v/>
      </c>
      <c r="R184" s="7">
        <f>IF(SUM(H184:K184)=0,"",J184/SUM(H184:K184))</f>
        <v/>
      </c>
      <c r="S184" s="7">
        <f>IF(SUM(H184:K184)=0,"",K184/SUM(H184:K184))</f>
        <v/>
      </c>
      <c r="T184" s="7">
        <f>IF(SUM(L184:O184)=0,"",L184/SUM(L184:O184))</f>
        <v/>
      </c>
      <c r="U184" s="7">
        <f>IF(SUM(L184:O184)=0,"",M184/SUM(L184:O184))</f>
        <v/>
      </c>
      <c r="V184" s="7">
        <f>IF(SUM(L184:O184)=0,"",N184/SUM(L184:O184))</f>
        <v/>
      </c>
      <c r="W184" s="7">
        <f>IF(SUM(L184:O184)=0,"",O184/SUM(L184:O184))</f>
        <v/>
      </c>
    </row>
    <row r="185">
      <c r="A185" t="n">
        <v>204</v>
      </c>
      <c r="B185" t="inlineStr">
        <is>
          <t>[community_foundation_tag]'ll manage all accounting, tax receipts, and donor communication so you can focus on fundraising.</t>
        </is>
      </c>
      <c r="C185" t="n">
        <v>1</v>
      </c>
      <c r="D185" t="n">
        <v>2</v>
      </c>
      <c r="E185" t="n">
        <v>0</v>
      </c>
      <c r="F185" t="n">
        <v>0</v>
      </c>
      <c r="G185" t="b">
        <v>1</v>
      </c>
      <c r="H185" t="n">
        <v>2</v>
      </c>
      <c r="I185" t="n">
        <v>0</v>
      </c>
      <c r="J185" t="n">
        <v>0</v>
      </c>
      <c r="K185" t="n">
        <v>0</v>
      </c>
      <c r="L185" t="n">
        <v>2</v>
      </c>
      <c r="M185" t="n">
        <v>4</v>
      </c>
      <c r="N185" t="n">
        <v>0</v>
      </c>
      <c r="O185" t="n">
        <v>0</v>
      </c>
      <c r="P185" s="7">
        <f>IF(SUM(H185:K185)=0,"",H185/SUM(H185:K185))</f>
        <v/>
      </c>
      <c r="Q185" s="7">
        <f>IF(SUM(H185:K185)=0,"",I185/SUM(H185:K185))</f>
        <v/>
      </c>
      <c r="R185" s="7">
        <f>IF(SUM(H185:K185)=0,"",J185/SUM(H185:K185))</f>
        <v/>
      </c>
      <c r="S185" s="7">
        <f>IF(SUM(H185:K185)=0,"",K185/SUM(H185:K185))</f>
        <v/>
      </c>
      <c r="T185" s="7">
        <f>IF(SUM(L185:O185)=0,"",L185/SUM(L185:O185))</f>
        <v/>
      </c>
      <c r="U185" s="7">
        <f>IF(SUM(L185:O185)=0,"",M185/SUM(L185:O185))</f>
        <v/>
      </c>
      <c r="V185" s="7">
        <f>IF(SUM(L185:O185)=0,"",N185/SUM(L185:O185))</f>
        <v/>
      </c>
      <c r="W185" s="7">
        <f>IF(SUM(L185:O185)=0,"",O185/SUM(L185:O185))</f>
        <v/>
      </c>
    </row>
    <row r="186">
      <c r="A186" t="n">
        <v>205</v>
      </c>
      <c r="B186" t="inlineStr">
        <is>
          <t>Scholarship Funds</t>
        </is>
      </c>
      <c r="C186" t="n">
        <v>0</v>
      </c>
      <c r="D186" t="n">
        <v>1</v>
      </c>
      <c r="E186" t="n">
        <v>0</v>
      </c>
      <c r="F186" t="n">
        <v>0</v>
      </c>
      <c r="G186" t="b">
        <v>0</v>
      </c>
      <c r="H186" t="n">
        <v>0</v>
      </c>
      <c r="I186" t="n">
        <v>0</v>
      </c>
      <c r="J186" t="n">
        <v>0</v>
      </c>
      <c r="K186" t="n">
        <v>0</v>
      </c>
      <c r="L186" t="n">
        <v>1</v>
      </c>
      <c r="M186" t="n">
        <v>2</v>
      </c>
      <c r="N186" t="n">
        <v>0</v>
      </c>
      <c r="O186" t="n">
        <v>0</v>
      </c>
      <c r="P186" s="7">
        <f>IF(SUM(H186:K186)=0,"",H186/SUM(H186:K186))</f>
        <v/>
      </c>
      <c r="Q186" s="7">
        <f>IF(SUM(H186:K186)=0,"",I186/SUM(H186:K186))</f>
        <v/>
      </c>
      <c r="R186" s="7">
        <f>IF(SUM(H186:K186)=0,"",J186/SUM(H186:K186))</f>
        <v/>
      </c>
      <c r="S186" s="7">
        <f>IF(SUM(H186:K186)=0,"",K186/SUM(H186:K186))</f>
        <v/>
      </c>
      <c r="T186" s="7">
        <f>IF(SUM(L186:O186)=0,"",L186/SUM(L186:O186))</f>
        <v/>
      </c>
      <c r="U186" s="7">
        <f>IF(SUM(L186:O186)=0,"",M186/SUM(L186:O186))</f>
        <v/>
      </c>
      <c r="V186" s="7">
        <f>IF(SUM(L186:O186)=0,"",N186/SUM(L186:O186))</f>
        <v/>
      </c>
      <c r="W186" s="7">
        <f>IF(SUM(L186:O186)=0,"",O186/SUM(L186:O186))</f>
        <v/>
      </c>
    </row>
    <row r="187">
      <c r="A187" t="n">
        <v>206</v>
      </c>
      <c r="B187" t="inlineStr">
        <is>
          <t>Investing in deserving students</t>
        </is>
      </c>
      <c r="C187" t="n">
        <v>0</v>
      </c>
      <c r="D187" t="n">
        <v>2</v>
      </c>
      <c r="E187" t="n">
        <v>0</v>
      </c>
      <c r="F187" t="n">
        <v>0</v>
      </c>
      <c r="G187" t="b">
        <v>0</v>
      </c>
      <c r="H187" t="n">
        <v>0</v>
      </c>
      <c r="I187" t="n">
        <v>0</v>
      </c>
      <c r="J187" t="n">
        <v>0</v>
      </c>
      <c r="K187" t="n">
        <v>0</v>
      </c>
      <c r="L187" t="n">
        <v>0</v>
      </c>
      <c r="M187" t="n">
        <v>4</v>
      </c>
      <c r="N187" t="n">
        <v>2</v>
      </c>
      <c r="O187" t="n">
        <v>0</v>
      </c>
      <c r="P187" s="7">
        <f>IF(SUM(H187:K187)=0,"",H187/SUM(H187:K187))</f>
        <v/>
      </c>
      <c r="Q187" s="7">
        <f>IF(SUM(H187:K187)=0,"",I187/SUM(H187:K187))</f>
        <v/>
      </c>
      <c r="R187" s="7">
        <f>IF(SUM(H187:K187)=0,"",J187/SUM(H187:K187))</f>
        <v/>
      </c>
      <c r="S187" s="7">
        <f>IF(SUM(H187:K187)=0,"",K187/SUM(H187:K187))</f>
        <v/>
      </c>
      <c r="T187" s="7">
        <f>IF(SUM(L187:O187)=0,"",L187/SUM(L187:O187))</f>
        <v/>
      </c>
      <c r="U187" s="7">
        <f>IF(SUM(L187:O187)=0,"",M187/SUM(L187:O187))</f>
        <v/>
      </c>
      <c r="V187" s="7">
        <f>IF(SUM(L187:O187)=0,"",N187/SUM(L187:O187))</f>
        <v/>
      </c>
      <c r="W187" s="7">
        <f>IF(SUM(L187:O187)=0,"",O187/SUM(L187:O187))</f>
        <v/>
      </c>
    </row>
    <row r="188">
      <c r="A188" t="n">
        <v>207</v>
      </c>
      <c r="B188" t="inlineStr">
        <is>
          <t>Develop talent by helping hardworking area students achieve their lifelong dreams.</t>
        </is>
      </c>
      <c r="C188" t="n">
        <v>1</v>
      </c>
      <c r="D188" t="n">
        <v>3</v>
      </c>
      <c r="E188" t="n">
        <v>0</v>
      </c>
      <c r="F188" t="n">
        <v>0</v>
      </c>
      <c r="G188" t="b">
        <v>1</v>
      </c>
      <c r="H188" t="n">
        <v>0</v>
      </c>
      <c r="I188" t="n">
        <v>0</v>
      </c>
      <c r="J188" t="n">
        <v>2</v>
      </c>
      <c r="K188" t="n">
        <v>0</v>
      </c>
      <c r="L188" t="n">
        <v>0</v>
      </c>
      <c r="M188" t="n">
        <v>5</v>
      </c>
      <c r="N188" t="n">
        <v>4</v>
      </c>
      <c r="O188" t="n">
        <v>0</v>
      </c>
      <c r="P188" s="7">
        <f>IF(SUM(H188:K188)=0,"",H188/SUM(H188:K188))</f>
        <v/>
      </c>
      <c r="Q188" s="7">
        <f>IF(SUM(H188:K188)=0,"",I188/SUM(H188:K188))</f>
        <v/>
      </c>
      <c r="R188" s="7">
        <f>IF(SUM(H188:K188)=0,"",J188/SUM(H188:K188))</f>
        <v/>
      </c>
      <c r="S188" s="7">
        <f>IF(SUM(H188:K188)=0,"",K188/SUM(H188:K188))</f>
        <v/>
      </c>
      <c r="T188" s="7">
        <f>IF(SUM(L188:O188)=0,"",L188/SUM(L188:O188))</f>
        <v/>
      </c>
      <c r="U188" s="7">
        <f>IF(SUM(L188:O188)=0,"",M188/SUM(L188:O188))</f>
        <v/>
      </c>
      <c r="V188" s="7">
        <f>IF(SUM(L188:O188)=0,"",N188/SUM(L188:O188))</f>
        <v/>
      </c>
      <c r="W188" s="7">
        <f>IF(SUM(L188:O188)=0,"",O188/SUM(L188:O188))</f>
        <v/>
      </c>
    </row>
    <row r="189">
      <c r="A189" t="n">
        <v>208</v>
      </c>
      <c r="B189" t="inlineStr">
        <is>
          <t>All these types of funds can be set up in a way to memorialize a loved one or honor a family/individual.</t>
        </is>
      </c>
      <c r="C189" t="n">
        <v>1</v>
      </c>
      <c r="D189" t="n">
        <v>2</v>
      </c>
      <c r="E189" t="n">
        <v>0</v>
      </c>
      <c r="F189" t="n">
        <v>0</v>
      </c>
      <c r="G189" t="b">
        <v>1</v>
      </c>
      <c r="H189" t="n">
        <v>0</v>
      </c>
      <c r="I189" t="n">
        <v>2</v>
      </c>
      <c r="J189" t="n">
        <v>0</v>
      </c>
      <c r="K189" t="n">
        <v>0</v>
      </c>
      <c r="L189" t="n">
        <v>2</v>
      </c>
      <c r="M189" t="n">
        <v>4</v>
      </c>
      <c r="N189" t="n">
        <v>0</v>
      </c>
      <c r="O189" t="n">
        <v>0</v>
      </c>
      <c r="P189" s="7">
        <f>IF(SUM(H189:K189)=0,"",H189/SUM(H189:K189))</f>
        <v/>
      </c>
      <c r="Q189" s="7">
        <f>IF(SUM(H189:K189)=0,"",I189/SUM(H189:K189))</f>
        <v/>
      </c>
      <c r="R189" s="7">
        <f>IF(SUM(H189:K189)=0,"",J189/SUM(H189:K189))</f>
        <v/>
      </c>
      <c r="S189" s="7">
        <f>IF(SUM(H189:K189)=0,"",K189/SUM(H189:K189))</f>
        <v/>
      </c>
      <c r="T189" s="7">
        <f>IF(SUM(L189:O189)=0,"",L189/SUM(L189:O189))</f>
        <v/>
      </c>
      <c r="U189" s="7">
        <f>IF(SUM(L189:O189)=0,"",M189/SUM(L189:O189))</f>
        <v/>
      </c>
      <c r="V189" s="7">
        <f>IF(SUM(L189:O189)=0,"",N189/SUM(L189:O189))</f>
        <v/>
      </c>
      <c r="W189" s="7">
        <f>IF(SUM(L189:O189)=0,"",O189/SUM(L189:O189))</f>
        <v/>
      </c>
    </row>
    <row r="190">
      <c r="A190" t="n">
        <v>209</v>
      </c>
      <c r="B190" t="inlineStr">
        <is>
          <t>What drives the work [community_foundation_tag] do?</t>
        </is>
      </c>
      <c r="C190" t="n">
        <v>0</v>
      </c>
      <c r="D190" t="n">
        <v>0</v>
      </c>
      <c r="E190" t="n">
        <v>0</v>
      </c>
      <c r="F190" t="n">
        <v>0</v>
      </c>
      <c r="G190" t="b">
        <v>0</v>
      </c>
      <c r="H190" t="n">
        <v>0</v>
      </c>
      <c r="I190" t="n">
        <v>0</v>
      </c>
      <c r="J190" t="n">
        <v>0</v>
      </c>
      <c r="K190" t="n">
        <v>0</v>
      </c>
      <c r="L190" t="n">
        <v>0</v>
      </c>
      <c r="M190" t="n">
        <v>0</v>
      </c>
      <c r="N190" t="n">
        <v>0</v>
      </c>
      <c r="O190" t="n">
        <v>0</v>
      </c>
      <c r="P190" s="7">
        <f>IF(SUM(H190:K190)=0,"",H190/SUM(H190:K190))</f>
        <v/>
      </c>
      <c r="Q190" s="7">
        <f>IF(SUM(H190:K190)=0,"",I190/SUM(H190:K190))</f>
        <v/>
      </c>
      <c r="R190" s="7">
        <f>IF(SUM(H190:K190)=0,"",J190/SUM(H190:K190))</f>
        <v/>
      </c>
      <c r="S190" s="7">
        <f>IF(SUM(H190:K190)=0,"",K190/SUM(H190:K190))</f>
        <v/>
      </c>
      <c r="T190" s="7">
        <f>IF(SUM(L190:O190)=0,"",L190/SUM(L190:O190))</f>
        <v/>
      </c>
      <c r="U190" s="7">
        <f>IF(SUM(L190:O190)=0,"",M190/SUM(L190:O190))</f>
        <v/>
      </c>
      <c r="V190" s="7">
        <f>IF(SUM(L190:O190)=0,"",N190/SUM(L190:O190))</f>
        <v/>
      </c>
      <c r="W190" s="7">
        <f>IF(SUM(L190:O190)=0,"",O190/SUM(L190:O190))</f>
        <v/>
      </c>
    </row>
    <row r="191">
      <c r="A191" t="n">
        <v>210</v>
      </c>
      <c r="B191" t="inlineStr">
        <is>
          <t>Midland's Community Success Panel developed four major focus areas for [community_foundation_tag] community. The panel believed these areas would help Midland achieve its vision statement of 'Midland: an inclusive community. Together. Forward. Bold. An exceptional place where everyone thrives.'</t>
        </is>
      </c>
      <c r="C191" t="n">
        <v>0</v>
      </c>
      <c r="D191" t="n">
        <v>1</v>
      </c>
      <c r="E191" t="n">
        <v>0</v>
      </c>
      <c r="F191" t="n">
        <v>0</v>
      </c>
      <c r="G191" t="b">
        <v>0</v>
      </c>
      <c r="H191" t="n">
        <v>0</v>
      </c>
      <c r="I191" t="n">
        <v>0</v>
      </c>
      <c r="J191" t="n">
        <v>0</v>
      </c>
      <c r="K191" t="n">
        <v>0</v>
      </c>
      <c r="L191" t="n">
        <v>0</v>
      </c>
      <c r="M191" t="n">
        <v>0</v>
      </c>
      <c r="N191" t="n">
        <v>2</v>
      </c>
      <c r="O191" t="n">
        <v>1</v>
      </c>
      <c r="P191" s="7">
        <f>IF(SUM(H191:K191)=0,"",H191/SUM(H191:K191))</f>
        <v/>
      </c>
      <c r="Q191" s="7">
        <f>IF(SUM(H191:K191)=0,"",I191/SUM(H191:K191))</f>
        <v/>
      </c>
      <c r="R191" s="7">
        <f>IF(SUM(H191:K191)=0,"",J191/SUM(H191:K191))</f>
        <v/>
      </c>
      <c r="S191" s="7">
        <f>IF(SUM(H191:K191)=0,"",K191/SUM(H191:K191))</f>
        <v/>
      </c>
      <c r="T191" s="7">
        <f>IF(SUM(L191:O191)=0,"",L191/SUM(L191:O191))</f>
        <v/>
      </c>
      <c r="U191" s="7">
        <f>IF(SUM(L191:O191)=0,"",M191/SUM(L191:O191))</f>
        <v/>
      </c>
      <c r="V191" s="7">
        <f>IF(SUM(L191:O191)=0,"",N191/SUM(L191:O191))</f>
        <v/>
      </c>
      <c r="W191" s="7">
        <f>IF(SUM(L191:O191)=0,"",O191/SUM(L191:O191))</f>
        <v/>
      </c>
    </row>
    <row r="192">
      <c r="A192" t="n">
        <v>211</v>
      </c>
      <c r="B192" t="inlineStr">
        <is>
          <t>[community_foundation_tag], in turn, aligned with these focus areas. [community_foundation_tag] believe that to work towards a more vibrant, thriving community, [community_foundation_tag] efforts should focus on these broad areas.</t>
        </is>
      </c>
      <c r="C192" t="n">
        <v>0</v>
      </c>
      <c r="D192" t="n">
        <v>1</v>
      </c>
      <c r="E192" t="n">
        <v>0</v>
      </c>
      <c r="F192" t="n">
        <v>0</v>
      </c>
      <c r="G192" t="b">
        <v>0</v>
      </c>
      <c r="H192" t="n">
        <v>0</v>
      </c>
      <c r="I192" t="n">
        <v>0</v>
      </c>
      <c r="J192" t="n">
        <v>0</v>
      </c>
      <c r="K192" t="n">
        <v>0</v>
      </c>
      <c r="L192" t="n">
        <v>1</v>
      </c>
      <c r="M192" t="n">
        <v>0</v>
      </c>
      <c r="N192" t="n">
        <v>2</v>
      </c>
      <c r="O192" t="n">
        <v>0</v>
      </c>
      <c r="P192" s="7">
        <f>IF(SUM(H192:K192)=0,"",H192/SUM(H192:K192))</f>
        <v/>
      </c>
      <c r="Q192" s="7">
        <f>IF(SUM(H192:K192)=0,"",I192/SUM(H192:K192))</f>
        <v/>
      </c>
      <c r="R192" s="7">
        <f>IF(SUM(H192:K192)=0,"",J192/SUM(H192:K192))</f>
        <v/>
      </c>
      <c r="S192" s="7">
        <f>IF(SUM(H192:K192)=0,"",K192/SUM(H192:K192))</f>
        <v/>
      </c>
      <c r="T192" s="7">
        <f>IF(SUM(L192:O192)=0,"",L192/SUM(L192:O192))</f>
        <v/>
      </c>
      <c r="U192" s="7">
        <f>IF(SUM(L192:O192)=0,"",M192/SUM(L192:O192))</f>
        <v/>
      </c>
      <c r="V192" s="7">
        <f>IF(SUM(L192:O192)=0,"",N192/SUM(L192:O192))</f>
        <v/>
      </c>
      <c r="W192" s="7">
        <f>IF(SUM(L192:O192)=0,"",O192/SUM(L192:O192))</f>
        <v/>
      </c>
    </row>
    <row r="193">
      <c r="A193" t="n">
        <v>212</v>
      </c>
      <c r="B193" t="inlineStr">
        <is>
          <t>Building our livelihood means focusing on economic development and infrastructure. Developing our talent means focusing on education and the development and engagement of our youth. Caring for our people means focusing on health, human services, poverty, housing, and public safety. Enriching our community means focusing on arts, culture, entertainment, recreation, diversity, and the environment.</t>
        </is>
      </c>
      <c r="C193" t="n">
        <v>1</v>
      </c>
      <c r="D193" t="n">
        <v>1</v>
      </c>
      <c r="E193" t="n">
        <v>0</v>
      </c>
      <c r="F193" t="n">
        <v>0</v>
      </c>
      <c r="G193" t="b">
        <v>1</v>
      </c>
      <c r="H193" t="n">
        <v>0</v>
      </c>
      <c r="I193" t="n">
        <v>0</v>
      </c>
      <c r="J193" t="n">
        <v>2</v>
      </c>
      <c r="K193" t="n">
        <v>1</v>
      </c>
      <c r="L193" t="n">
        <v>0</v>
      </c>
      <c r="M193" t="n">
        <v>0</v>
      </c>
      <c r="N193" t="n">
        <v>2</v>
      </c>
      <c r="O193" t="n">
        <v>1</v>
      </c>
      <c r="P193" s="7">
        <f>IF(SUM(H193:K193)=0,"",H193/SUM(H193:K193))</f>
        <v/>
      </c>
      <c r="Q193" s="7">
        <f>IF(SUM(H193:K193)=0,"",I193/SUM(H193:K193))</f>
        <v/>
      </c>
      <c r="R193" s="7">
        <f>IF(SUM(H193:K193)=0,"",J193/SUM(H193:K193))</f>
        <v/>
      </c>
      <c r="S193" s="7">
        <f>IF(SUM(H193:K193)=0,"",K193/SUM(H193:K193))</f>
        <v/>
      </c>
      <c r="T193" s="7">
        <f>IF(SUM(L193:O193)=0,"",L193/SUM(L193:O193))</f>
        <v/>
      </c>
      <c r="U193" s="7">
        <f>IF(SUM(L193:O193)=0,"",M193/SUM(L193:O193))</f>
        <v/>
      </c>
      <c r="V193" s="7">
        <f>IF(SUM(L193:O193)=0,"",N193/SUM(L193:O193))</f>
        <v/>
      </c>
      <c r="W193" s="7">
        <f>IF(SUM(L193:O193)=0,"",O193/SUM(L193:O193))</f>
        <v/>
      </c>
    </row>
    <row r="194">
      <c r="A194" t="n">
        <v>213</v>
      </c>
      <c r="B194" t="inlineStr">
        <is>
          <t>[community_foundation_tag] believe that moving forward together with [community_foundation_tag] donors and the community, [community_foundation_tag] can help to transform [community_foundation_tag] community as [community_foundation_tag] focus on these areas. Together, [community_foundation_tag]'re enriching and improving [community_foundation_tag] quality of life.</t>
        </is>
      </c>
      <c r="C194" t="n">
        <v>2</v>
      </c>
      <c r="D194" t="n">
        <v>3</v>
      </c>
      <c r="E194" t="n">
        <v>1</v>
      </c>
      <c r="F194" t="n">
        <v>0</v>
      </c>
      <c r="G194" t="b">
        <v>1</v>
      </c>
      <c r="H194" t="n">
        <v>2</v>
      </c>
      <c r="I194" t="n">
        <v>0</v>
      </c>
      <c r="J194" t="n">
        <v>0</v>
      </c>
      <c r="K194" t="n">
        <v>0</v>
      </c>
      <c r="L194" t="n">
        <v>4</v>
      </c>
      <c r="M194" t="n">
        <v>0</v>
      </c>
      <c r="N194" t="n">
        <v>5</v>
      </c>
      <c r="O194" t="n">
        <v>0</v>
      </c>
      <c r="P194" s="7">
        <f>IF(SUM(H194:K194)=0,"",H194/SUM(H194:K194))</f>
        <v/>
      </c>
      <c r="Q194" s="7">
        <f>IF(SUM(H194:K194)=0,"",I194/SUM(H194:K194))</f>
        <v/>
      </c>
      <c r="R194" s="7">
        <f>IF(SUM(H194:K194)=0,"",J194/SUM(H194:K194))</f>
        <v/>
      </c>
      <c r="S194" s="7">
        <f>IF(SUM(H194:K194)=0,"",K194/SUM(H194:K194))</f>
        <v/>
      </c>
      <c r="T194" s="7">
        <f>IF(SUM(L194:O194)=0,"",L194/SUM(L194:O194))</f>
        <v/>
      </c>
      <c r="U194" s="7">
        <f>IF(SUM(L194:O194)=0,"",M194/SUM(L194:O194))</f>
        <v/>
      </c>
      <c r="V194" s="7">
        <f>IF(SUM(L194:O194)=0,"",N194/SUM(L194:O194))</f>
        <v/>
      </c>
      <c r="W194" s="7">
        <f>IF(SUM(L194:O194)=0,"",O194/SUM(L194:O194))</f>
        <v/>
      </c>
    </row>
    <row r="195">
      <c r="A195" t="n">
        <v>214</v>
      </c>
      <c r="B195" t="inlineStr">
        <is>
          <t>Building our Livelihood</t>
        </is>
      </c>
      <c r="C195" t="n">
        <v>0</v>
      </c>
      <c r="D195" t="n">
        <v>1</v>
      </c>
      <c r="E195" t="n">
        <v>0</v>
      </c>
      <c r="F195" t="n">
        <v>0</v>
      </c>
      <c r="G195" t="b">
        <v>0</v>
      </c>
      <c r="H195" t="n">
        <v>0</v>
      </c>
      <c r="I195" t="n">
        <v>0</v>
      </c>
      <c r="J195" t="n">
        <v>0</v>
      </c>
      <c r="K195" t="n">
        <v>0</v>
      </c>
      <c r="L195" t="n">
        <v>1</v>
      </c>
      <c r="M195" t="n">
        <v>0</v>
      </c>
      <c r="N195" t="n">
        <v>2</v>
      </c>
      <c r="O195" t="n">
        <v>0</v>
      </c>
      <c r="P195" s="7">
        <f>IF(SUM(H195:K195)=0,"",H195/SUM(H195:K195))</f>
        <v/>
      </c>
      <c r="Q195" s="7">
        <f>IF(SUM(H195:K195)=0,"",I195/SUM(H195:K195))</f>
        <v/>
      </c>
      <c r="R195" s="7">
        <f>IF(SUM(H195:K195)=0,"",J195/SUM(H195:K195))</f>
        <v/>
      </c>
      <c r="S195" s="7">
        <f>IF(SUM(H195:K195)=0,"",K195/SUM(H195:K195))</f>
        <v/>
      </c>
      <c r="T195" s="7">
        <f>IF(SUM(L195:O195)=0,"",L195/SUM(L195:O195))</f>
        <v/>
      </c>
      <c r="U195" s="7">
        <f>IF(SUM(L195:O195)=0,"",M195/SUM(L195:O195))</f>
        <v/>
      </c>
      <c r="V195" s="7">
        <f>IF(SUM(L195:O195)=0,"",N195/SUM(L195:O195))</f>
        <v/>
      </c>
      <c r="W195" s="7">
        <f>IF(SUM(L195:O195)=0,"",O195/SUM(L195:O195))</f>
        <v/>
      </c>
    </row>
    <row r="196">
      <c r="A196" t="n">
        <v>216</v>
      </c>
      <c r="B196" t="inlineStr">
        <is>
          <t>Midland County creates and sustains competitive advantages for existing and future businesses.</t>
        </is>
      </c>
      <c r="C196" t="n">
        <v>1</v>
      </c>
      <c r="D196" t="n">
        <v>1</v>
      </c>
      <c r="E196" t="n">
        <v>0</v>
      </c>
      <c r="F196" t="n">
        <v>0</v>
      </c>
      <c r="G196" t="b">
        <v>1</v>
      </c>
      <c r="H196" t="n">
        <v>0</v>
      </c>
      <c r="I196" t="n">
        <v>0</v>
      </c>
      <c r="J196" t="n">
        <v>2</v>
      </c>
      <c r="K196" t="n">
        <v>0</v>
      </c>
      <c r="L196" t="n">
        <v>1</v>
      </c>
      <c r="M196" t="n">
        <v>0</v>
      </c>
      <c r="N196" t="n">
        <v>2</v>
      </c>
      <c r="O196" t="n">
        <v>0</v>
      </c>
      <c r="P196" s="7">
        <f>IF(SUM(H196:K196)=0,"",H196/SUM(H196:K196))</f>
        <v/>
      </c>
      <c r="Q196" s="7">
        <f>IF(SUM(H196:K196)=0,"",I196/SUM(H196:K196))</f>
        <v/>
      </c>
      <c r="R196" s="7">
        <f>IF(SUM(H196:K196)=0,"",J196/SUM(H196:K196))</f>
        <v/>
      </c>
      <c r="S196" s="7">
        <f>IF(SUM(H196:K196)=0,"",K196/SUM(H196:K196))</f>
        <v/>
      </c>
      <c r="T196" s="7">
        <f>IF(SUM(L196:O196)=0,"",L196/SUM(L196:O196))</f>
        <v/>
      </c>
      <c r="U196" s="7">
        <f>IF(SUM(L196:O196)=0,"",M196/SUM(L196:O196))</f>
        <v/>
      </c>
      <c r="V196" s="7">
        <f>IF(SUM(L196:O196)=0,"",N196/SUM(L196:O196))</f>
        <v/>
      </c>
      <c r="W196" s="7">
        <f>IF(SUM(L196:O196)=0,"",O196/SUM(L196:O196))</f>
        <v/>
      </c>
    </row>
    <row r="197">
      <c r="A197" t="n">
        <v>217</v>
      </c>
      <c r="B197" t="inlineStr">
        <is>
          <t>We are well-connected and invest in our physical and technological infrastructure.</t>
        </is>
      </c>
      <c r="C197" t="n">
        <v>1</v>
      </c>
      <c r="D197" t="n">
        <v>1</v>
      </c>
      <c r="E197" t="n">
        <v>0</v>
      </c>
      <c r="F197" t="n">
        <v>0</v>
      </c>
      <c r="G197" t="b">
        <v>1</v>
      </c>
      <c r="H197" t="n">
        <v>0</v>
      </c>
      <c r="I197" t="n">
        <v>0</v>
      </c>
      <c r="J197" t="n">
        <v>2</v>
      </c>
      <c r="K197" t="n">
        <v>0</v>
      </c>
      <c r="L197" t="n">
        <v>1</v>
      </c>
      <c r="M197" t="n">
        <v>0</v>
      </c>
      <c r="N197" t="n">
        <v>2</v>
      </c>
      <c r="O197" t="n">
        <v>0</v>
      </c>
      <c r="P197" s="7">
        <f>IF(SUM(H197:K197)=0,"",H197/SUM(H197:K197))</f>
        <v/>
      </c>
      <c r="Q197" s="7">
        <f>IF(SUM(H197:K197)=0,"",I197/SUM(H197:K197))</f>
        <v/>
      </c>
      <c r="R197" s="7">
        <f>IF(SUM(H197:K197)=0,"",J197/SUM(H197:K197))</f>
        <v/>
      </c>
      <c r="S197" s="7">
        <f>IF(SUM(H197:K197)=0,"",K197/SUM(H197:K197))</f>
        <v/>
      </c>
      <c r="T197" s="7">
        <f>IF(SUM(L197:O197)=0,"",L197/SUM(L197:O197))</f>
        <v/>
      </c>
      <c r="U197" s="7">
        <f>IF(SUM(L197:O197)=0,"",M197/SUM(L197:O197))</f>
        <v/>
      </c>
      <c r="V197" s="7">
        <f>IF(SUM(L197:O197)=0,"",N197/SUM(L197:O197))</f>
        <v/>
      </c>
      <c r="W197" s="7">
        <f>IF(SUM(L197:O197)=0,"",O197/SUM(L197:O197))</f>
        <v/>
      </c>
    </row>
    <row r="198">
      <c r="A198" t="n">
        <v>218</v>
      </c>
      <c r="B198" t="inlineStr">
        <is>
          <t>Enriching our Community</t>
        </is>
      </c>
      <c r="C198" t="n">
        <v>0</v>
      </c>
      <c r="D198" t="n">
        <v>1</v>
      </c>
      <c r="E198" t="n">
        <v>0</v>
      </c>
      <c r="F198" t="n">
        <v>0</v>
      </c>
      <c r="G198" t="b">
        <v>0</v>
      </c>
      <c r="H198" t="n">
        <v>0</v>
      </c>
      <c r="I198" t="n">
        <v>0</v>
      </c>
      <c r="J198" t="n">
        <v>0</v>
      </c>
      <c r="K198" t="n">
        <v>0</v>
      </c>
      <c r="L198" t="n">
        <v>2</v>
      </c>
      <c r="M198" t="n">
        <v>0</v>
      </c>
      <c r="N198" t="n">
        <v>1</v>
      </c>
      <c r="O198" t="n">
        <v>0</v>
      </c>
      <c r="P198" s="7">
        <f>IF(SUM(H198:K198)=0,"",H198/SUM(H198:K198))</f>
        <v/>
      </c>
      <c r="Q198" s="7">
        <f>IF(SUM(H198:K198)=0,"",I198/SUM(H198:K198))</f>
        <v/>
      </c>
      <c r="R198" s="7">
        <f>IF(SUM(H198:K198)=0,"",J198/SUM(H198:K198))</f>
        <v/>
      </c>
      <c r="S198" s="7">
        <f>IF(SUM(H198:K198)=0,"",K198/SUM(H198:K198))</f>
        <v/>
      </c>
      <c r="T198" s="7">
        <f>IF(SUM(L198:O198)=0,"",L198/SUM(L198:O198))</f>
        <v/>
      </c>
      <c r="U198" s="7">
        <f>IF(SUM(L198:O198)=0,"",M198/SUM(L198:O198))</f>
        <v/>
      </c>
      <c r="V198" s="7">
        <f>IF(SUM(L198:O198)=0,"",N198/SUM(L198:O198))</f>
        <v/>
      </c>
      <c r="W198" s="7">
        <f>IF(SUM(L198:O198)=0,"",O198/SUM(L198:O198))</f>
        <v/>
      </c>
    </row>
    <row r="199">
      <c r="A199" t="n">
        <v>219</v>
      </c>
      <c r="B199" t="inlineStr">
        <is>
          <t>Midland County is a vibrant hub of arts, culture, entertainment, and recreational opportunities.</t>
        </is>
      </c>
      <c r="C199" t="n">
        <v>0</v>
      </c>
      <c r="D199" t="n">
        <v>1</v>
      </c>
      <c r="E199" t="n">
        <v>0</v>
      </c>
      <c r="F199" t="n">
        <v>0</v>
      </c>
      <c r="G199" t="b">
        <v>0</v>
      </c>
      <c r="H199" t="n">
        <v>0</v>
      </c>
      <c r="I199" t="n">
        <v>0</v>
      </c>
      <c r="J199" t="n">
        <v>0</v>
      </c>
      <c r="K199" t="n">
        <v>0</v>
      </c>
      <c r="L199" t="n">
        <v>2</v>
      </c>
      <c r="M199" t="n">
        <v>0</v>
      </c>
      <c r="N199" t="n">
        <v>1</v>
      </c>
      <c r="O199" t="n">
        <v>0</v>
      </c>
      <c r="P199" s="7">
        <f>IF(SUM(H199:K199)=0,"",H199/SUM(H199:K199))</f>
        <v/>
      </c>
      <c r="Q199" s="7">
        <f>IF(SUM(H199:K199)=0,"",I199/SUM(H199:K199))</f>
        <v/>
      </c>
      <c r="R199" s="7">
        <f>IF(SUM(H199:K199)=0,"",J199/SUM(H199:K199))</f>
        <v/>
      </c>
      <c r="S199" s="7">
        <f>IF(SUM(H199:K199)=0,"",K199/SUM(H199:K199))</f>
        <v/>
      </c>
      <c r="T199" s="7">
        <f>IF(SUM(L199:O199)=0,"",L199/SUM(L199:O199))</f>
        <v/>
      </c>
      <c r="U199" s="7">
        <f>IF(SUM(L199:O199)=0,"",M199/SUM(L199:O199))</f>
        <v/>
      </c>
      <c r="V199" s="7">
        <f>IF(SUM(L199:O199)=0,"",N199/SUM(L199:O199))</f>
        <v/>
      </c>
      <c r="W199" s="7">
        <f>IF(SUM(L199:O199)=0,"",O199/SUM(L199:O199))</f>
        <v/>
      </c>
    </row>
    <row r="200">
      <c r="A200" t="n">
        <v>220</v>
      </c>
      <c r="B200" t="inlineStr">
        <is>
          <t>We are committed to equality and inclusion, and we welcome, embrace, and accept all people.</t>
        </is>
      </c>
      <c r="C200" t="n">
        <v>1</v>
      </c>
      <c r="D200" t="n">
        <v>1</v>
      </c>
      <c r="E200" t="n">
        <v>0</v>
      </c>
      <c r="F200" t="n">
        <v>0</v>
      </c>
      <c r="G200" t="b">
        <v>1</v>
      </c>
      <c r="H200" t="n">
        <v>0</v>
      </c>
      <c r="I200" t="n">
        <v>0</v>
      </c>
      <c r="J200" t="n">
        <v>0</v>
      </c>
      <c r="K200" t="n">
        <v>2</v>
      </c>
      <c r="L200" t="n">
        <v>1</v>
      </c>
      <c r="M200" t="n">
        <v>0</v>
      </c>
      <c r="N200" t="n">
        <v>0</v>
      </c>
      <c r="O200" t="n">
        <v>2</v>
      </c>
      <c r="P200" s="7">
        <f>IF(SUM(H200:K200)=0,"",H200/SUM(H200:K200))</f>
        <v/>
      </c>
      <c r="Q200" s="7">
        <f>IF(SUM(H200:K200)=0,"",I200/SUM(H200:K200))</f>
        <v/>
      </c>
      <c r="R200" s="7">
        <f>IF(SUM(H200:K200)=0,"",J200/SUM(H200:K200))</f>
        <v/>
      </c>
      <c r="S200" s="7">
        <f>IF(SUM(H200:K200)=0,"",K200/SUM(H200:K200))</f>
        <v/>
      </c>
      <c r="T200" s="7">
        <f>IF(SUM(L200:O200)=0,"",L200/SUM(L200:O200))</f>
        <v/>
      </c>
      <c r="U200" s="7">
        <f>IF(SUM(L200:O200)=0,"",M200/SUM(L200:O200))</f>
        <v/>
      </c>
      <c r="V200" s="7">
        <f>IF(SUM(L200:O200)=0,"",N200/SUM(L200:O200))</f>
        <v/>
      </c>
      <c r="W200" s="7">
        <f>IF(SUM(L200:O200)=0,"",O200/SUM(L200:O200))</f>
        <v/>
      </c>
    </row>
    <row r="201">
      <c r="A201" t="n">
        <v>221</v>
      </c>
      <c r="B201" t="inlineStr">
        <is>
          <t>We are a sustainable community that values and protects its natural resources.</t>
        </is>
      </c>
      <c r="C201" t="n">
        <v>1</v>
      </c>
      <c r="D201" t="n">
        <v>1</v>
      </c>
      <c r="E201" t="n">
        <v>0</v>
      </c>
      <c r="F201" t="n">
        <v>0</v>
      </c>
      <c r="G201" t="b">
        <v>1</v>
      </c>
      <c r="H201" t="n">
        <v>0</v>
      </c>
      <c r="I201" t="n">
        <v>0</v>
      </c>
      <c r="J201" t="n">
        <v>0</v>
      </c>
      <c r="K201" t="n">
        <v>2</v>
      </c>
      <c r="L201" t="n">
        <v>2</v>
      </c>
      <c r="M201" t="n">
        <v>0</v>
      </c>
      <c r="N201" t="n">
        <v>1</v>
      </c>
      <c r="O201" t="n">
        <v>0</v>
      </c>
      <c r="P201" s="7">
        <f>IF(SUM(H201:K201)=0,"",H201/SUM(H201:K201))</f>
        <v/>
      </c>
      <c r="Q201" s="7">
        <f>IF(SUM(H201:K201)=0,"",I201/SUM(H201:K201))</f>
        <v/>
      </c>
      <c r="R201" s="7">
        <f>IF(SUM(H201:K201)=0,"",J201/SUM(H201:K201))</f>
        <v/>
      </c>
      <c r="S201" s="7">
        <f>IF(SUM(H201:K201)=0,"",K201/SUM(H201:K201))</f>
        <v/>
      </c>
      <c r="T201" s="7">
        <f>IF(SUM(L201:O201)=0,"",L201/SUM(L201:O201))</f>
        <v/>
      </c>
      <c r="U201" s="7">
        <f>IF(SUM(L201:O201)=0,"",M201/SUM(L201:O201))</f>
        <v/>
      </c>
      <c r="V201" s="7">
        <f>IF(SUM(L201:O201)=0,"",N201/SUM(L201:O201))</f>
        <v/>
      </c>
      <c r="W201" s="7">
        <f>IF(SUM(L201:O201)=0,"",O201/SUM(L201:O201))</f>
        <v/>
      </c>
    </row>
    <row r="202">
      <c r="A202" t="n">
        <v>222</v>
      </c>
      <c r="B202" t="inlineStr">
        <is>
          <t>Developing our Talent ·</t>
        </is>
      </c>
      <c r="C202" t="n">
        <v>0</v>
      </c>
      <c r="D202" t="n">
        <v>1</v>
      </c>
      <c r="E202" t="n">
        <v>0</v>
      </c>
      <c r="F202" t="n">
        <v>0</v>
      </c>
      <c r="G202" t="b">
        <v>0</v>
      </c>
      <c r="H202" t="n">
        <v>0</v>
      </c>
      <c r="I202" t="n">
        <v>0</v>
      </c>
      <c r="J202" t="n">
        <v>0</v>
      </c>
      <c r="K202" t="n">
        <v>0</v>
      </c>
      <c r="L202" t="n">
        <v>0</v>
      </c>
      <c r="M202" t="n">
        <v>1</v>
      </c>
      <c r="N202" t="n">
        <v>2</v>
      </c>
      <c r="O202" t="n">
        <v>0</v>
      </c>
      <c r="P202" s="7">
        <f>IF(SUM(H202:K202)=0,"",H202/SUM(H202:K202))</f>
        <v/>
      </c>
      <c r="Q202" s="7">
        <f>IF(SUM(H202:K202)=0,"",I202/SUM(H202:K202))</f>
        <v/>
      </c>
      <c r="R202" s="7">
        <f>IF(SUM(H202:K202)=0,"",J202/SUM(H202:K202))</f>
        <v/>
      </c>
      <c r="S202" s="7">
        <f>IF(SUM(H202:K202)=0,"",K202/SUM(H202:K202))</f>
        <v/>
      </c>
      <c r="T202" s="7">
        <f>IF(SUM(L202:O202)=0,"",L202/SUM(L202:O202))</f>
        <v/>
      </c>
      <c r="U202" s="7">
        <f>IF(SUM(L202:O202)=0,"",M202/SUM(L202:O202))</f>
        <v/>
      </c>
      <c r="V202" s="7">
        <f>IF(SUM(L202:O202)=0,"",N202/SUM(L202:O202))</f>
        <v/>
      </c>
      <c r="W202" s="7">
        <f>IF(SUM(L202:O202)=0,"",O202/SUM(L202:O202))</f>
        <v/>
      </c>
    </row>
    <row r="203">
      <c r="A203" t="n">
        <v>223</v>
      </c>
      <c r="B203" t="inlineStr">
        <is>
          <t>Midland County offers high-quality education and learning opportunities throughout life. Our community nurtures a skilled workforce and places high value on post-secondary learning.</t>
        </is>
      </c>
      <c r="C203" t="n">
        <v>1</v>
      </c>
      <c r="D203" t="n">
        <v>1</v>
      </c>
      <c r="E203" t="n">
        <v>0</v>
      </c>
      <c r="F203" t="n">
        <v>0</v>
      </c>
      <c r="G203" t="b">
        <v>1</v>
      </c>
      <c r="H203" t="n">
        <v>0</v>
      </c>
      <c r="I203" t="n">
        <v>0</v>
      </c>
      <c r="J203" t="n">
        <v>2</v>
      </c>
      <c r="K203" t="n">
        <v>0</v>
      </c>
      <c r="L203" t="n">
        <v>1</v>
      </c>
      <c r="M203" t="n">
        <v>0</v>
      </c>
      <c r="N203" t="n">
        <v>2</v>
      </c>
      <c r="O203" t="n">
        <v>0</v>
      </c>
      <c r="P203" s="7">
        <f>IF(SUM(H203:K203)=0,"",H203/SUM(H203:K203))</f>
        <v/>
      </c>
      <c r="Q203" s="7">
        <f>IF(SUM(H203:K203)=0,"",I203/SUM(H203:K203))</f>
        <v/>
      </c>
      <c r="R203" s="7">
        <f>IF(SUM(H203:K203)=0,"",J203/SUM(H203:K203))</f>
        <v/>
      </c>
      <c r="S203" s="7">
        <f>IF(SUM(H203:K203)=0,"",K203/SUM(H203:K203))</f>
        <v/>
      </c>
      <c r="T203" s="7">
        <f>IF(SUM(L203:O203)=0,"",L203/SUM(L203:O203))</f>
        <v/>
      </c>
      <c r="U203" s="7">
        <f>IF(SUM(L203:O203)=0,"",M203/SUM(L203:O203))</f>
        <v/>
      </c>
      <c r="V203" s="7">
        <f>IF(SUM(L203:O203)=0,"",N203/SUM(L203:O203))</f>
        <v/>
      </c>
      <c r="W203" s="7">
        <f>IF(SUM(L203:O203)=0,"",O203/SUM(L203:O203))</f>
        <v/>
      </c>
    </row>
    <row r="204">
      <c r="A204" t="n">
        <v>224</v>
      </c>
      <c r="B204" t="inlineStr">
        <is>
          <t>We provide opportunities for children and youth to realize their hopes and dreams.</t>
        </is>
      </c>
      <c r="C204" t="n">
        <v>0</v>
      </c>
      <c r="D204" t="n">
        <v>1</v>
      </c>
      <c r="E204" t="n">
        <v>0</v>
      </c>
      <c r="F204" t="n">
        <v>0</v>
      </c>
      <c r="G204" t="b">
        <v>0</v>
      </c>
      <c r="H204" t="n">
        <v>0</v>
      </c>
      <c r="I204" t="n">
        <v>0</v>
      </c>
      <c r="J204" t="n">
        <v>0</v>
      </c>
      <c r="K204" t="n">
        <v>0</v>
      </c>
      <c r="L204" t="n">
        <v>2</v>
      </c>
      <c r="M204" t="n">
        <v>0</v>
      </c>
      <c r="N204" t="n">
        <v>1</v>
      </c>
      <c r="O204" t="n">
        <v>0</v>
      </c>
      <c r="P204" s="7">
        <f>IF(SUM(H204:K204)=0,"",H204/SUM(H204:K204))</f>
        <v/>
      </c>
      <c r="Q204" s="7">
        <f>IF(SUM(H204:K204)=0,"",I204/SUM(H204:K204))</f>
        <v/>
      </c>
      <c r="R204" s="7">
        <f>IF(SUM(H204:K204)=0,"",J204/SUM(H204:K204))</f>
        <v/>
      </c>
      <c r="S204" s="7">
        <f>IF(SUM(H204:K204)=0,"",K204/SUM(H204:K204))</f>
        <v/>
      </c>
      <c r="T204" s="7">
        <f>IF(SUM(L204:O204)=0,"",L204/SUM(L204:O204))</f>
        <v/>
      </c>
      <c r="U204" s="7">
        <f>IF(SUM(L204:O204)=0,"",M204/SUM(L204:O204))</f>
        <v/>
      </c>
      <c r="V204" s="7">
        <f>IF(SUM(L204:O204)=0,"",N204/SUM(L204:O204))</f>
        <v/>
      </c>
      <c r="W204" s="7">
        <f>IF(SUM(L204:O204)=0,"",O204/SUM(L204:O204))</f>
        <v/>
      </c>
    </row>
    <row r="205">
      <c r="A205" t="n">
        <v>225</v>
      </c>
      <c r="B205" t="inlineStr">
        <is>
          <t>Caring for our People ·</t>
        </is>
      </c>
      <c r="C205" t="n">
        <v>0</v>
      </c>
      <c r="D205" t="n">
        <v>1</v>
      </c>
      <c r="E205" t="n">
        <v>0</v>
      </c>
      <c r="F205" t="n">
        <v>0</v>
      </c>
      <c r="G205" t="b">
        <v>0</v>
      </c>
      <c r="H205" t="n">
        <v>0</v>
      </c>
      <c r="I205" t="n">
        <v>0</v>
      </c>
      <c r="J205" t="n">
        <v>0</v>
      </c>
      <c r="K205" t="n">
        <v>0</v>
      </c>
      <c r="L205" t="n">
        <v>1</v>
      </c>
      <c r="M205" t="n">
        <v>0</v>
      </c>
      <c r="N205" t="n">
        <v>0</v>
      </c>
      <c r="O205" t="n">
        <v>2</v>
      </c>
      <c r="P205" s="7">
        <f>IF(SUM(H205:K205)=0,"",H205/SUM(H205:K205))</f>
        <v/>
      </c>
      <c r="Q205" s="7">
        <f>IF(SUM(H205:K205)=0,"",I205/SUM(H205:K205))</f>
        <v/>
      </c>
      <c r="R205" s="7">
        <f>IF(SUM(H205:K205)=0,"",J205/SUM(H205:K205))</f>
        <v/>
      </c>
      <c r="S205" s="7">
        <f>IF(SUM(H205:K205)=0,"",K205/SUM(H205:K205))</f>
        <v/>
      </c>
      <c r="T205" s="7">
        <f>IF(SUM(L205:O205)=0,"",L205/SUM(L205:O205))</f>
        <v/>
      </c>
      <c r="U205" s="7">
        <f>IF(SUM(L205:O205)=0,"",M205/SUM(L205:O205))</f>
        <v/>
      </c>
      <c r="V205" s="7">
        <f>IF(SUM(L205:O205)=0,"",N205/SUM(L205:O205))</f>
        <v/>
      </c>
      <c r="W205" s="7">
        <f>IF(SUM(L205:O205)=0,"",O205/SUM(L205:O205))</f>
        <v/>
      </c>
    </row>
    <row r="206">
      <c r="A206" t="n">
        <v>226</v>
      </c>
      <c r="B206" t="inlineStr">
        <is>
          <t>The Midland community provides a coordinated and comprehensive system of supportive health and human services so that all may thrive.</t>
        </is>
      </c>
      <c r="C206" t="n">
        <v>1</v>
      </c>
      <c r="D206" t="n">
        <v>1</v>
      </c>
      <c r="E206" t="n">
        <v>0</v>
      </c>
      <c r="F206" t="n">
        <v>0</v>
      </c>
      <c r="G206" t="b">
        <v>1</v>
      </c>
      <c r="H206" t="n">
        <v>0</v>
      </c>
      <c r="I206" t="n">
        <v>0</v>
      </c>
      <c r="J206" t="n">
        <v>2</v>
      </c>
      <c r="K206" t="n">
        <v>0</v>
      </c>
      <c r="L206" t="n">
        <v>0</v>
      </c>
      <c r="M206" t="n">
        <v>0</v>
      </c>
      <c r="N206" t="n">
        <v>2</v>
      </c>
      <c r="O206" t="n">
        <v>1</v>
      </c>
      <c r="P206" s="7">
        <f>IF(SUM(H206:K206)=0,"",H206/SUM(H206:K206))</f>
        <v/>
      </c>
      <c r="Q206" s="7">
        <f>IF(SUM(H206:K206)=0,"",I206/SUM(H206:K206))</f>
        <v/>
      </c>
      <c r="R206" s="7">
        <f>IF(SUM(H206:K206)=0,"",J206/SUM(H206:K206))</f>
        <v/>
      </c>
      <c r="S206" s="7">
        <f>IF(SUM(H206:K206)=0,"",K206/SUM(H206:K206))</f>
        <v/>
      </c>
      <c r="T206" s="7">
        <f>IF(SUM(L206:O206)=0,"",L206/SUM(L206:O206))</f>
        <v/>
      </c>
      <c r="U206" s="7">
        <f>IF(SUM(L206:O206)=0,"",M206/SUM(L206:O206))</f>
        <v/>
      </c>
      <c r="V206" s="7">
        <f>IF(SUM(L206:O206)=0,"",N206/SUM(L206:O206))</f>
        <v/>
      </c>
      <c r="W206" s="7">
        <f>IF(SUM(L206:O206)=0,"",O206/SUM(L206:O206))</f>
        <v/>
      </c>
    </row>
    <row r="207">
      <c r="A207" t="n">
        <v>227</v>
      </c>
      <c r="B207" t="inlineStr">
        <is>
          <t>We encourage self-sufficiency and accept all individual responsibilities to collaborate to create the safest community in the country.</t>
        </is>
      </c>
      <c r="C207" t="n">
        <v>1</v>
      </c>
      <c r="D207" t="n">
        <v>1</v>
      </c>
      <c r="E207" t="n">
        <v>0</v>
      </c>
      <c r="F207" t="n">
        <v>0</v>
      </c>
      <c r="G207" t="b">
        <v>1</v>
      </c>
      <c r="H207" t="n">
        <v>2</v>
      </c>
      <c r="I207" t="n">
        <v>0</v>
      </c>
      <c r="J207" t="n">
        <v>0</v>
      </c>
      <c r="K207" t="n">
        <v>0</v>
      </c>
      <c r="L207" t="n">
        <v>1</v>
      </c>
      <c r="M207" t="n">
        <v>0</v>
      </c>
      <c r="N207" t="n">
        <v>2</v>
      </c>
      <c r="O207" t="n">
        <v>0</v>
      </c>
      <c r="P207" s="7">
        <f>IF(SUM(H207:K207)=0,"",H207/SUM(H207:K207))</f>
        <v/>
      </c>
      <c r="Q207" s="7">
        <f>IF(SUM(H207:K207)=0,"",I207/SUM(H207:K207))</f>
        <v/>
      </c>
      <c r="R207" s="7">
        <f>IF(SUM(H207:K207)=0,"",J207/SUM(H207:K207))</f>
        <v/>
      </c>
      <c r="S207" s="7">
        <f>IF(SUM(H207:K207)=0,"",K207/SUM(H207:K207))</f>
        <v/>
      </c>
      <c r="T207" s="7">
        <f>IF(SUM(L207:O207)=0,"",L207/SUM(L207:O207))</f>
        <v/>
      </c>
      <c r="U207" s="7">
        <f>IF(SUM(L207:O207)=0,"",M207/SUM(L207:O207))</f>
        <v/>
      </c>
      <c r="V207" s="7">
        <f>IF(SUM(L207:O207)=0,"",N207/SUM(L207:O207))</f>
        <v/>
      </c>
      <c r="W207" s="7">
        <f>IF(SUM(L207:O207)=0,"",O207/SUM(L207:O207))</f>
        <v/>
      </c>
    </row>
    <row r="208">
      <c r="A208" t="n">
        <v>228</v>
      </c>
      <c r="B208" t="inlineStr">
        <is>
          <t>Grantmaking [community_foundation_tag] holds over 700 individual funds, each with a different purpose, impacting [community_foundation_tag] community through grants and/or scholarships. Most funds were established by individuals partnering with [community_foundation_tag] to impact [community_foundation_tag] community positively.</t>
        </is>
      </c>
      <c r="C208" t="n">
        <v>1</v>
      </c>
      <c r="D208" t="n">
        <v>2</v>
      </c>
      <c r="E208" t="n">
        <v>0</v>
      </c>
      <c r="F208" t="n">
        <v>0</v>
      </c>
      <c r="G208" t="b">
        <v>1</v>
      </c>
      <c r="H208" t="n">
        <v>0</v>
      </c>
      <c r="I208" t="n">
        <v>2</v>
      </c>
      <c r="J208" t="n">
        <v>0</v>
      </c>
      <c r="K208" t="n">
        <v>0</v>
      </c>
      <c r="L208" t="n">
        <v>2</v>
      </c>
      <c r="M208" t="n">
        <v>4</v>
      </c>
      <c r="N208" t="n">
        <v>0</v>
      </c>
      <c r="O208" t="n">
        <v>0</v>
      </c>
      <c r="P208" s="7">
        <f>IF(SUM(H208:K208)=0,"",H208/SUM(H208:K208))</f>
        <v/>
      </c>
      <c r="Q208" s="7">
        <f>IF(SUM(H208:K208)=0,"",I208/SUM(H208:K208))</f>
        <v/>
      </c>
      <c r="R208" s="7">
        <f>IF(SUM(H208:K208)=0,"",J208/SUM(H208:K208))</f>
        <v/>
      </c>
      <c r="S208" s="7">
        <f>IF(SUM(H208:K208)=0,"",K208/SUM(H208:K208))</f>
        <v/>
      </c>
      <c r="T208" s="7">
        <f>IF(SUM(L208:O208)=0,"",L208/SUM(L208:O208))</f>
        <v/>
      </c>
      <c r="U208" s="7">
        <f>IF(SUM(L208:O208)=0,"",M208/SUM(L208:O208))</f>
        <v/>
      </c>
      <c r="V208" s="7">
        <f>IF(SUM(L208:O208)=0,"",N208/SUM(L208:O208))</f>
        <v/>
      </c>
      <c r="W208" s="7">
        <f>IF(SUM(L208:O208)=0,"",O208/SUM(L208:O208))</f>
        <v/>
      </c>
    </row>
    <row r="209">
      <c r="A209" t="n">
        <v>229</v>
      </c>
      <c r="B209" t="inlineStr">
        <is>
          <t>Grant totals reflect all funds held at [community_foundation_tag]. Grants on the following pages represent [community_foundation_tag]'s competitive grants. Money for these grants comes from Community Investment and Foundation Directed Funds held at [community_foundation_tag]. Also, competitive grants are awarded through the Kellogg Youth Fund, utilized at the direction of the Midland Area Youth Action Council.</t>
        </is>
      </c>
      <c r="C209" t="n">
        <v>0</v>
      </c>
      <c r="D209" t="n">
        <v>2</v>
      </c>
      <c r="E209" t="n">
        <v>0</v>
      </c>
      <c r="F209" t="n">
        <v>0</v>
      </c>
      <c r="G209" t="b">
        <v>0</v>
      </c>
      <c r="H209" t="n">
        <v>0</v>
      </c>
      <c r="I209" t="n">
        <v>0</v>
      </c>
      <c r="J209" t="n">
        <v>0</v>
      </c>
      <c r="K209" t="n">
        <v>0</v>
      </c>
      <c r="L209" t="n">
        <v>2</v>
      </c>
      <c r="M209" t="n">
        <v>0</v>
      </c>
      <c r="N209" t="n">
        <v>2</v>
      </c>
      <c r="O209" t="n">
        <v>2</v>
      </c>
      <c r="P209" s="7">
        <f>IF(SUM(H209:K209)=0,"",H209/SUM(H209:K209))</f>
        <v/>
      </c>
      <c r="Q209" s="7">
        <f>IF(SUM(H209:K209)=0,"",I209/SUM(H209:K209))</f>
        <v/>
      </c>
      <c r="R209" s="7">
        <f>IF(SUM(H209:K209)=0,"",J209/SUM(H209:K209))</f>
        <v/>
      </c>
      <c r="S209" s="7">
        <f>IF(SUM(H209:K209)=0,"",K209/SUM(H209:K209))</f>
        <v/>
      </c>
      <c r="T209" s="7">
        <f>IF(SUM(L209:O209)=0,"",L209/SUM(L209:O209))</f>
        <v/>
      </c>
      <c r="U209" s="7">
        <f>IF(SUM(L209:O209)=0,"",M209/SUM(L209:O209))</f>
        <v/>
      </c>
      <c r="V209" s="7">
        <f>IF(SUM(L209:O209)=0,"",N209/SUM(L209:O209))</f>
        <v/>
      </c>
      <c r="W209" s="7">
        <f>IF(SUM(L209:O209)=0,"",O209/SUM(L209:O209))</f>
        <v/>
      </c>
    </row>
    <row r="210">
      <c r="A210" t="n">
        <v>231</v>
      </c>
      <c r="B210" t="inlineStr">
        <is>
          <t>OUR GRANTMAKING</t>
        </is>
      </c>
      <c r="C210" t="n">
        <v>0</v>
      </c>
      <c r="D210" t="n">
        <v>1</v>
      </c>
      <c r="E210" t="n">
        <v>0</v>
      </c>
      <c r="F210" t="n">
        <v>0</v>
      </c>
      <c r="G210" t="b">
        <v>0</v>
      </c>
      <c r="H210" t="n">
        <v>0</v>
      </c>
      <c r="I210" t="n">
        <v>0</v>
      </c>
      <c r="J210" t="n">
        <v>0</v>
      </c>
      <c r="K210" t="n">
        <v>0</v>
      </c>
      <c r="L210" t="n">
        <v>2</v>
      </c>
      <c r="M210" t="n">
        <v>0</v>
      </c>
      <c r="N210" t="n">
        <v>1</v>
      </c>
      <c r="O210" t="n">
        <v>0</v>
      </c>
      <c r="P210" s="7">
        <f>IF(SUM(H210:K210)=0,"",H210/SUM(H210:K210))</f>
        <v/>
      </c>
      <c r="Q210" s="7">
        <f>IF(SUM(H210:K210)=0,"",I210/SUM(H210:K210))</f>
        <v/>
      </c>
      <c r="R210" s="7">
        <f>IF(SUM(H210:K210)=0,"",J210/SUM(H210:K210))</f>
        <v/>
      </c>
      <c r="S210" s="7">
        <f>IF(SUM(H210:K210)=0,"",K210/SUM(H210:K210))</f>
        <v/>
      </c>
      <c r="T210" s="7">
        <f>IF(SUM(L210:O210)=0,"",L210/SUM(L210:O210))</f>
        <v/>
      </c>
      <c r="U210" s="7">
        <f>IF(SUM(L210:O210)=0,"",M210/SUM(L210:O210))</f>
        <v/>
      </c>
      <c r="V210" s="7">
        <f>IF(SUM(L210:O210)=0,"",N210/SUM(L210:O210))</f>
        <v/>
      </c>
      <c r="W210" s="7">
        <f>IF(SUM(L210:O210)=0,"",O210/SUM(L210:O210))</f>
        <v/>
      </c>
    </row>
    <row r="211">
      <c r="A211" t="n">
        <v>233</v>
      </c>
      <c r="B211" t="inlineStr">
        <is>
          <t>DEVELOPING OUR TALENT</t>
        </is>
      </c>
      <c r="C211" t="n">
        <v>0</v>
      </c>
      <c r="D211" t="n">
        <v>1</v>
      </c>
      <c r="E211" t="n">
        <v>0</v>
      </c>
      <c r="F211" t="n">
        <v>0</v>
      </c>
      <c r="G211" t="b">
        <v>0</v>
      </c>
      <c r="H211" t="n">
        <v>0</v>
      </c>
      <c r="I211" t="n">
        <v>0</v>
      </c>
      <c r="J211" t="n">
        <v>0</v>
      </c>
      <c r="K211" t="n">
        <v>0</v>
      </c>
      <c r="L211" t="n">
        <v>0</v>
      </c>
      <c r="M211" t="n">
        <v>1</v>
      </c>
      <c r="N211" t="n">
        <v>2</v>
      </c>
      <c r="O211" t="n">
        <v>0</v>
      </c>
      <c r="P211" s="7">
        <f>IF(SUM(H211:K211)=0,"",H211/SUM(H211:K211))</f>
        <v/>
      </c>
      <c r="Q211" s="7">
        <f>IF(SUM(H211:K211)=0,"",I211/SUM(H211:K211))</f>
        <v/>
      </c>
      <c r="R211" s="7">
        <f>IF(SUM(H211:K211)=0,"",J211/SUM(H211:K211))</f>
        <v/>
      </c>
      <c r="S211" s="7">
        <f>IF(SUM(H211:K211)=0,"",K211/SUM(H211:K211))</f>
        <v/>
      </c>
      <c r="T211" s="7">
        <f>IF(SUM(L211:O211)=0,"",L211/SUM(L211:O211))</f>
        <v/>
      </c>
      <c r="U211" s="7">
        <f>IF(SUM(L211:O211)=0,"",M211/SUM(L211:O211))</f>
        <v/>
      </c>
      <c r="V211" s="7">
        <f>IF(SUM(L211:O211)=0,"",N211/SUM(L211:O211))</f>
        <v/>
      </c>
      <c r="W211" s="7">
        <f>IF(SUM(L211:O211)=0,"",O211/SUM(L211:O211))</f>
        <v/>
      </c>
    </row>
    <row r="212">
      <c r="A212" t="n">
        <v>235</v>
      </c>
      <c r="B212" t="inlineStr">
        <is>
          <t>BUILDING OUR LIVELIHOOD</t>
        </is>
      </c>
      <c r="C212" t="n">
        <v>0</v>
      </c>
      <c r="D212" t="n">
        <v>1</v>
      </c>
      <c r="E212" t="n">
        <v>0</v>
      </c>
      <c r="F212" t="n">
        <v>0</v>
      </c>
      <c r="G212" t="b">
        <v>0</v>
      </c>
      <c r="H212" t="n">
        <v>0</v>
      </c>
      <c r="I212" t="n">
        <v>0</v>
      </c>
      <c r="J212" t="n">
        <v>0</v>
      </c>
      <c r="K212" t="n">
        <v>0</v>
      </c>
      <c r="L212" t="n">
        <v>1</v>
      </c>
      <c r="M212" t="n">
        <v>0</v>
      </c>
      <c r="N212" t="n">
        <v>2</v>
      </c>
      <c r="O212" t="n">
        <v>0</v>
      </c>
      <c r="P212" s="7">
        <f>IF(SUM(H212:K212)=0,"",H212/SUM(H212:K212))</f>
        <v/>
      </c>
      <c r="Q212" s="7">
        <f>IF(SUM(H212:K212)=0,"",I212/SUM(H212:K212))</f>
        <v/>
      </c>
      <c r="R212" s="7">
        <f>IF(SUM(H212:K212)=0,"",J212/SUM(H212:K212))</f>
        <v/>
      </c>
      <c r="S212" s="7">
        <f>IF(SUM(H212:K212)=0,"",K212/SUM(H212:K212))</f>
        <v/>
      </c>
      <c r="T212" s="7">
        <f>IF(SUM(L212:O212)=0,"",L212/SUM(L212:O212))</f>
        <v/>
      </c>
      <c r="U212" s="7">
        <f>IF(SUM(L212:O212)=0,"",M212/SUM(L212:O212))</f>
        <v/>
      </c>
      <c r="V212" s="7">
        <f>IF(SUM(L212:O212)=0,"",N212/SUM(L212:O212))</f>
        <v/>
      </c>
      <c r="W212" s="7">
        <f>IF(SUM(L212:O212)=0,"",O212/SUM(L212:O212))</f>
        <v/>
      </c>
    </row>
    <row r="213">
      <c r="A213" t="n">
        <v>237</v>
      </c>
      <c r="B213" t="inlineStr">
        <is>
          <t>CARING FOR OUR PEOPLE</t>
        </is>
      </c>
      <c r="C213" t="n">
        <v>0</v>
      </c>
      <c r="D213" t="n">
        <v>1</v>
      </c>
      <c r="E213" t="n">
        <v>0</v>
      </c>
      <c r="F213" t="n">
        <v>0</v>
      </c>
      <c r="G213" t="b">
        <v>0</v>
      </c>
      <c r="H213" t="n">
        <v>0</v>
      </c>
      <c r="I213" t="n">
        <v>0</v>
      </c>
      <c r="J213" t="n">
        <v>0</v>
      </c>
      <c r="K213" t="n">
        <v>0</v>
      </c>
      <c r="L213" t="n">
        <v>1</v>
      </c>
      <c r="M213" t="n">
        <v>0</v>
      </c>
      <c r="N213" t="n">
        <v>0</v>
      </c>
      <c r="O213" t="n">
        <v>2</v>
      </c>
      <c r="P213" s="7">
        <f>IF(SUM(H213:K213)=0,"",H213/SUM(H213:K213))</f>
        <v/>
      </c>
      <c r="Q213" s="7">
        <f>IF(SUM(H213:K213)=0,"",I213/SUM(H213:K213))</f>
        <v/>
      </c>
      <c r="R213" s="7">
        <f>IF(SUM(H213:K213)=0,"",J213/SUM(H213:K213))</f>
        <v/>
      </c>
      <c r="S213" s="7">
        <f>IF(SUM(H213:K213)=0,"",K213/SUM(H213:K213))</f>
        <v/>
      </c>
      <c r="T213" s="7">
        <f>IF(SUM(L213:O213)=0,"",L213/SUM(L213:O213))</f>
        <v/>
      </c>
      <c r="U213" s="7">
        <f>IF(SUM(L213:O213)=0,"",M213/SUM(L213:O213))</f>
        <v/>
      </c>
      <c r="V213" s="7">
        <f>IF(SUM(L213:O213)=0,"",N213/SUM(L213:O213))</f>
        <v/>
      </c>
      <c r="W213" s="7">
        <f>IF(SUM(L213:O213)=0,"",O213/SUM(L213:O213))</f>
        <v/>
      </c>
    </row>
    <row r="214">
      <c r="A214" t="n">
        <v>239</v>
      </c>
      <c r="B214" t="inlineStr">
        <is>
          <t>ENRICHING OUR COMMUNITY</t>
        </is>
      </c>
      <c r="C214" t="n">
        <v>0</v>
      </c>
      <c r="D214" t="n">
        <v>1</v>
      </c>
      <c r="E214" t="n">
        <v>0</v>
      </c>
      <c r="F214" t="n">
        <v>0</v>
      </c>
      <c r="G214" t="b">
        <v>0</v>
      </c>
      <c r="H214" t="n">
        <v>0</v>
      </c>
      <c r="I214" t="n">
        <v>0</v>
      </c>
      <c r="J214" t="n">
        <v>0</v>
      </c>
      <c r="K214" t="n">
        <v>0</v>
      </c>
      <c r="L214" t="n">
        <v>2</v>
      </c>
      <c r="M214" t="n">
        <v>0</v>
      </c>
      <c r="N214" t="n">
        <v>1</v>
      </c>
      <c r="O214" t="n">
        <v>0</v>
      </c>
      <c r="P214" s="7">
        <f>IF(SUM(H214:K214)=0,"",H214/SUM(H214:K214))</f>
        <v/>
      </c>
      <c r="Q214" s="7">
        <f>IF(SUM(H214:K214)=0,"",I214/SUM(H214:K214))</f>
        <v/>
      </c>
      <c r="R214" s="7">
        <f>IF(SUM(H214:K214)=0,"",J214/SUM(H214:K214))</f>
        <v/>
      </c>
      <c r="S214" s="7">
        <f>IF(SUM(H214:K214)=0,"",K214/SUM(H214:K214))</f>
        <v/>
      </c>
      <c r="T214" s="7">
        <f>IF(SUM(L214:O214)=0,"",L214/SUM(L214:O214))</f>
        <v/>
      </c>
      <c r="U214" s="7">
        <f>IF(SUM(L214:O214)=0,"",M214/SUM(L214:O214))</f>
        <v/>
      </c>
      <c r="V214" s="7">
        <f>IF(SUM(L214:O214)=0,"",N214/SUM(L214:O214))</f>
        <v/>
      </c>
      <c r="W214" s="7">
        <f>IF(SUM(L214:O214)=0,"",O214/SUM(L214:O214))</f>
        <v/>
      </c>
    </row>
    <row r="215">
      <c r="A215" t="n">
        <v>241</v>
      </c>
      <c r="B215" t="inlineStr">
        <is>
          <t>Competitive Grants 2022</t>
        </is>
      </c>
      <c r="C215" t="n">
        <v>0</v>
      </c>
      <c r="D215" t="n">
        <v>1</v>
      </c>
      <c r="E215" t="n">
        <v>0</v>
      </c>
      <c r="F215" t="n">
        <v>0</v>
      </c>
      <c r="G215" t="b">
        <v>0</v>
      </c>
      <c r="H215" t="n">
        <v>0</v>
      </c>
      <c r="I215" t="n">
        <v>0</v>
      </c>
      <c r="J215" t="n">
        <v>0</v>
      </c>
      <c r="K215" t="n">
        <v>0</v>
      </c>
      <c r="L215" t="n">
        <v>1</v>
      </c>
      <c r="M215" t="n">
        <v>0</v>
      </c>
      <c r="N215" t="n">
        <v>2</v>
      </c>
      <c r="O215" t="n">
        <v>0</v>
      </c>
      <c r="P215" s="7">
        <f>IF(SUM(H215:K215)=0,"",H215/SUM(H215:K215))</f>
        <v/>
      </c>
      <c r="Q215" s="7">
        <f>IF(SUM(H215:K215)=0,"",I215/SUM(H215:K215))</f>
        <v/>
      </c>
      <c r="R215" s="7">
        <f>IF(SUM(H215:K215)=0,"",J215/SUM(H215:K215))</f>
        <v/>
      </c>
      <c r="S215" s="7">
        <f>IF(SUM(H215:K215)=0,"",K215/SUM(H215:K215))</f>
        <v/>
      </c>
      <c r="T215" s="7">
        <f>IF(SUM(L215:O215)=0,"",L215/SUM(L215:O215))</f>
        <v/>
      </c>
      <c r="U215" s="7">
        <f>IF(SUM(L215:O215)=0,"",M215/SUM(L215:O215))</f>
        <v/>
      </c>
      <c r="V215" s="7">
        <f>IF(SUM(L215:O215)=0,"",N215/SUM(L215:O215))</f>
        <v/>
      </c>
      <c r="W215" s="7">
        <f>IF(SUM(L215:O215)=0,"",O215/SUM(L215:O215))</f>
        <v/>
      </c>
    </row>
    <row r="216">
      <c r="A216" t="n">
        <v>242</v>
      </c>
      <c r="B216" t="inlineStr">
        <is>
          <t>DEVELOPING OUR TALENT</t>
        </is>
      </c>
      <c r="C216" t="n">
        <v>0</v>
      </c>
      <c r="D216" t="n">
        <v>1</v>
      </c>
      <c r="E216" t="n">
        <v>0</v>
      </c>
      <c r="F216" t="n">
        <v>0</v>
      </c>
      <c r="G216" t="b">
        <v>0</v>
      </c>
      <c r="H216" t="n">
        <v>0</v>
      </c>
      <c r="I216" t="n">
        <v>0</v>
      </c>
      <c r="J216" t="n">
        <v>0</v>
      </c>
      <c r="K216" t="n">
        <v>0</v>
      </c>
      <c r="L216" t="n">
        <v>0</v>
      </c>
      <c r="M216" t="n">
        <v>1</v>
      </c>
      <c r="N216" t="n">
        <v>2</v>
      </c>
      <c r="O216" t="n">
        <v>0</v>
      </c>
      <c r="P216" s="7">
        <f>IF(SUM(H216:K216)=0,"",H216/SUM(H216:K216))</f>
        <v/>
      </c>
      <c r="Q216" s="7">
        <f>IF(SUM(H216:K216)=0,"",I216/SUM(H216:K216))</f>
        <v/>
      </c>
      <c r="R216" s="7">
        <f>IF(SUM(H216:K216)=0,"",J216/SUM(H216:K216))</f>
        <v/>
      </c>
      <c r="S216" s="7">
        <f>IF(SUM(H216:K216)=0,"",K216/SUM(H216:K216))</f>
        <v/>
      </c>
      <c r="T216" s="7">
        <f>IF(SUM(L216:O216)=0,"",L216/SUM(L216:O216))</f>
        <v/>
      </c>
      <c r="U216" s="7">
        <f>IF(SUM(L216:O216)=0,"",M216/SUM(L216:O216))</f>
        <v/>
      </c>
      <c r="V216" s="7">
        <f>IF(SUM(L216:O216)=0,"",N216/SUM(L216:O216))</f>
        <v/>
      </c>
      <c r="W216" s="7">
        <f>IF(SUM(L216:O216)=0,"",O216/SUM(L216:O216))</f>
        <v/>
      </c>
    </row>
    <row r="217">
      <c r="A217" t="n">
        <v>244</v>
      </c>
      <c r="B217" t="inlineStr">
        <is>
          <t>Coleman Community Schools - $100,000</t>
        </is>
      </c>
      <c r="C217" t="n">
        <v>1</v>
      </c>
      <c r="D217" t="n">
        <v>1</v>
      </c>
      <c r="E217" t="n">
        <v>0</v>
      </c>
      <c r="F217" t="n">
        <v>0</v>
      </c>
      <c r="G217" t="b">
        <v>1</v>
      </c>
      <c r="H217" t="n">
        <v>0</v>
      </c>
      <c r="I217" t="n">
        <v>0</v>
      </c>
      <c r="J217" t="n">
        <v>2</v>
      </c>
      <c r="K217" t="n">
        <v>0</v>
      </c>
      <c r="L217" t="n">
        <v>1</v>
      </c>
      <c r="M217" t="n">
        <v>0</v>
      </c>
      <c r="N217" t="n">
        <v>2</v>
      </c>
      <c r="O217" t="n">
        <v>0</v>
      </c>
      <c r="P217" s="7">
        <f>IF(SUM(H217:K217)=0,"",H217/SUM(H217:K217))</f>
        <v/>
      </c>
      <c r="Q217" s="7">
        <f>IF(SUM(H217:K217)=0,"",I217/SUM(H217:K217))</f>
        <v/>
      </c>
      <c r="R217" s="7">
        <f>IF(SUM(H217:K217)=0,"",J217/SUM(H217:K217))</f>
        <v/>
      </c>
      <c r="S217" s="7">
        <f>IF(SUM(H217:K217)=0,"",K217/SUM(H217:K217))</f>
        <v/>
      </c>
      <c r="T217" s="7">
        <f>IF(SUM(L217:O217)=0,"",L217/SUM(L217:O217))</f>
        <v/>
      </c>
      <c r="U217" s="7">
        <f>IF(SUM(L217:O217)=0,"",M217/SUM(L217:O217))</f>
        <v/>
      </c>
      <c r="V217" s="7">
        <f>IF(SUM(L217:O217)=0,"",N217/SUM(L217:O217))</f>
        <v/>
      </c>
      <c r="W217" s="7">
        <f>IF(SUM(L217:O217)=0,"",O217/SUM(L217:O217))</f>
        <v/>
      </c>
    </row>
    <row r="218">
      <c r="A218" t="n">
        <v>245</v>
      </c>
      <c r="B218" t="inlineStr">
        <is>
          <t>Coleman Culinary &amp;amp; Hospitality Project at The Depot</t>
        </is>
      </c>
      <c r="C218" t="n">
        <v>0</v>
      </c>
      <c r="D218" t="n">
        <v>1</v>
      </c>
      <c r="E218" t="n">
        <v>0</v>
      </c>
      <c r="F218" t="n">
        <v>0</v>
      </c>
      <c r="G218" t="b">
        <v>0</v>
      </c>
      <c r="H218" t="n">
        <v>0</v>
      </c>
      <c r="I218" t="n">
        <v>0</v>
      </c>
      <c r="J218" t="n">
        <v>0</v>
      </c>
      <c r="K218" t="n">
        <v>0</v>
      </c>
      <c r="L218" t="n">
        <v>1</v>
      </c>
      <c r="M218" t="n">
        <v>0</v>
      </c>
      <c r="N218" t="n">
        <v>2</v>
      </c>
      <c r="O218" t="n">
        <v>0</v>
      </c>
      <c r="P218" s="7">
        <f>IF(SUM(H218:K218)=0,"",H218/SUM(H218:K218))</f>
        <v/>
      </c>
      <c r="Q218" s="7">
        <f>IF(SUM(H218:K218)=0,"",I218/SUM(H218:K218))</f>
        <v/>
      </c>
      <c r="R218" s="7">
        <f>IF(SUM(H218:K218)=0,"",J218/SUM(H218:K218))</f>
        <v/>
      </c>
      <c r="S218" s="7">
        <f>IF(SUM(H218:K218)=0,"",K218/SUM(H218:K218))</f>
        <v/>
      </c>
      <c r="T218" s="7">
        <f>IF(SUM(L218:O218)=0,"",L218/SUM(L218:O218))</f>
        <v/>
      </c>
      <c r="U218" s="7">
        <f>IF(SUM(L218:O218)=0,"",M218/SUM(L218:O218))</f>
        <v/>
      </c>
      <c r="V218" s="7">
        <f>IF(SUM(L218:O218)=0,"",N218/SUM(L218:O218))</f>
        <v/>
      </c>
      <c r="W218" s="7">
        <f>IF(SUM(L218:O218)=0,"",O218/SUM(L218:O218))</f>
        <v/>
      </c>
    </row>
    <row r="219">
      <c r="A219" t="n">
        <v>246</v>
      </c>
      <c r="B219" t="inlineStr">
        <is>
          <t>Coleman Community Schools - $10,000*</t>
        </is>
      </c>
      <c r="C219" t="n">
        <v>1</v>
      </c>
      <c r="D219" t="n">
        <v>1</v>
      </c>
      <c r="E219" t="n">
        <v>0</v>
      </c>
      <c r="F219" t="n">
        <v>0</v>
      </c>
      <c r="G219" t="b">
        <v>1</v>
      </c>
      <c r="H219" t="n">
        <v>0</v>
      </c>
      <c r="I219" t="n">
        <v>0</v>
      </c>
      <c r="J219" t="n">
        <v>2</v>
      </c>
      <c r="K219" t="n">
        <v>0</v>
      </c>
      <c r="L219" t="n">
        <v>1</v>
      </c>
      <c r="M219" t="n">
        <v>0</v>
      </c>
      <c r="N219" t="n">
        <v>2</v>
      </c>
      <c r="O219" t="n">
        <v>0</v>
      </c>
      <c r="P219" s="7">
        <f>IF(SUM(H219:K219)=0,"",H219/SUM(H219:K219))</f>
        <v/>
      </c>
      <c r="Q219" s="7">
        <f>IF(SUM(H219:K219)=0,"",I219/SUM(H219:K219))</f>
        <v/>
      </c>
      <c r="R219" s="7">
        <f>IF(SUM(H219:K219)=0,"",J219/SUM(H219:K219))</f>
        <v/>
      </c>
      <c r="S219" s="7">
        <f>IF(SUM(H219:K219)=0,"",K219/SUM(H219:K219))</f>
        <v/>
      </c>
      <c r="T219" s="7">
        <f>IF(SUM(L219:O219)=0,"",L219/SUM(L219:O219))</f>
        <v/>
      </c>
      <c r="U219" s="7">
        <f>IF(SUM(L219:O219)=0,"",M219/SUM(L219:O219))</f>
        <v/>
      </c>
      <c r="V219" s="7">
        <f>IF(SUM(L219:O219)=0,"",N219/SUM(L219:O219))</f>
        <v/>
      </c>
      <c r="W219" s="7">
        <f>IF(SUM(L219:O219)=0,"",O219/SUM(L219:O219))</f>
        <v/>
      </c>
    </row>
    <row r="220">
      <c r="A220" t="n">
        <v>247</v>
      </c>
      <c r="B220" t="inlineStr">
        <is>
          <t>Coleman Culinary &amp;amp; Hospitality Project at The Depot</t>
        </is>
      </c>
      <c r="C220" t="n">
        <v>0</v>
      </c>
      <c r="D220" t="n">
        <v>1</v>
      </c>
      <c r="E220" t="n">
        <v>0</v>
      </c>
      <c r="F220" t="n">
        <v>0</v>
      </c>
      <c r="G220" t="b">
        <v>0</v>
      </c>
      <c r="H220" t="n">
        <v>0</v>
      </c>
      <c r="I220" t="n">
        <v>0</v>
      </c>
      <c r="J220" t="n">
        <v>0</v>
      </c>
      <c r="K220" t="n">
        <v>0</v>
      </c>
      <c r="L220" t="n">
        <v>1</v>
      </c>
      <c r="M220" t="n">
        <v>0</v>
      </c>
      <c r="N220" t="n">
        <v>2</v>
      </c>
      <c r="O220" t="n">
        <v>0</v>
      </c>
      <c r="P220" s="7">
        <f>IF(SUM(H220:K220)=0,"",H220/SUM(H220:K220))</f>
        <v/>
      </c>
      <c r="Q220" s="7">
        <f>IF(SUM(H220:K220)=0,"",I220/SUM(H220:K220))</f>
        <v/>
      </c>
      <c r="R220" s="7">
        <f>IF(SUM(H220:K220)=0,"",J220/SUM(H220:K220))</f>
        <v/>
      </c>
      <c r="S220" s="7">
        <f>IF(SUM(H220:K220)=0,"",K220/SUM(H220:K220))</f>
        <v/>
      </c>
      <c r="T220" s="7">
        <f>IF(SUM(L220:O220)=0,"",L220/SUM(L220:O220))</f>
        <v/>
      </c>
      <c r="U220" s="7">
        <f>IF(SUM(L220:O220)=0,"",M220/SUM(L220:O220))</f>
        <v/>
      </c>
      <c r="V220" s="7">
        <f>IF(SUM(L220:O220)=0,"",N220/SUM(L220:O220))</f>
        <v/>
      </c>
      <c r="W220" s="7">
        <f>IF(SUM(L220:O220)=0,"",O220/SUM(L220:O220))</f>
        <v/>
      </c>
    </row>
    <row r="221">
      <c r="A221" t="n">
        <v>248</v>
      </c>
      <c r="B221" t="inlineStr">
        <is>
          <t>Midland County Educational Service Agency - $100,000*</t>
        </is>
      </c>
      <c r="C221" t="n">
        <v>1</v>
      </c>
      <c r="D221" t="n">
        <v>1</v>
      </c>
      <c r="E221" t="n">
        <v>0</v>
      </c>
      <c r="F221" t="n">
        <v>0</v>
      </c>
      <c r="G221" t="b">
        <v>1</v>
      </c>
      <c r="H221" t="n">
        <v>0</v>
      </c>
      <c r="I221" t="n">
        <v>0</v>
      </c>
      <c r="J221" t="n">
        <v>2</v>
      </c>
      <c r="K221" t="n">
        <v>0</v>
      </c>
      <c r="L221" t="n">
        <v>1</v>
      </c>
      <c r="M221" t="n">
        <v>0</v>
      </c>
      <c r="N221" t="n">
        <v>2</v>
      </c>
      <c r="O221" t="n">
        <v>0</v>
      </c>
      <c r="P221" s="7">
        <f>IF(SUM(H221:K221)=0,"",H221/SUM(H221:K221))</f>
        <v/>
      </c>
      <c r="Q221" s="7">
        <f>IF(SUM(H221:K221)=0,"",I221/SUM(H221:K221))</f>
        <v/>
      </c>
      <c r="R221" s="7">
        <f>IF(SUM(H221:K221)=0,"",J221/SUM(H221:K221))</f>
        <v/>
      </c>
      <c r="S221" s="7">
        <f>IF(SUM(H221:K221)=0,"",K221/SUM(H221:K221))</f>
        <v/>
      </c>
      <c r="T221" s="7">
        <f>IF(SUM(L221:O221)=0,"",L221/SUM(L221:O221))</f>
        <v/>
      </c>
      <c r="U221" s="7">
        <f>IF(SUM(L221:O221)=0,"",M221/SUM(L221:O221))</f>
        <v/>
      </c>
      <c r="V221" s="7">
        <f>IF(SUM(L221:O221)=0,"",N221/SUM(L221:O221))</f>
        <v/>
      </c>
      <c r="W221" s="7">
        <f>IF(SUM(L221:O221)=0,"",O221/SUM(L221:O221))</f>
        <v/>
      </c>
    </row>
    <row r="222">
      <c r="A222" t="n">
        <v>249</v>
      </c>
      <c r="B222" t="inlineStr">
        <is>
          <t>Supporting Children &amp;amp; Supporting Childcare</t>
        </is>
      </c>
      <c r="C222" t="n">
        <v>0</v>
      </c>
      <c r="D222" t="n">
        <v>1</v>
      </c>
      <c r="E222" t="n">
        <v>0</v>
      </c>
      <c r="F222" t="n">
        <v>0</v>
      </c>
      <c r="G222" t="b">
        <v>0</v>
      </c>
      <c r="H222" t="n">
        <v>0</v>
      </c>
      <c r="I222" t="n">
        <v>0</v>
      </c>
      <c r="J222" t="n">
        <v>0</v>
      </c>
      <c r="K222" t="n">
        <v>0</v>
      </c>
      <c r="L222" t="n">
        <v>0</v>
      </c>
      <c r="M222" t="n">
        <v>0</v>
      </c>
      <c r="N222" t="n">
        <v>2</v>
      </c>
      <c r="O222" t="n">
        <v>1</v>
      </c>
      <c r="P222" s="7">
        <f>IF(SUM(H222:K222)=0,"",H222/SUM(H222:K222))</f>
        <v/>
      </c>
      <c r="Q222" s="7">
        <f>IF(SUM(H222:K222)=0,"",I222/SUM(H222:K222))</f>
        <v/>
      </c>
      <c r="R222" s="7">
        <f>IF(SUM(H222:K222)=0,"",J222/SUM(H222:K222))</f>
        <v/>
      </c>
      <c r="S222" s="7">
        <f>IF(SUM(H222:K222)=0,"",K222/SUM(H222:K222))</f>
        <v/>
      </c>
      <c r="T222" s="7">
        <f>IF(SUM(L222:O222)=0,"",L222/SUM(L222:O222))</f>
        <v/>
      </c>
      <c r="U222" s="7">
        <f>IF(SUM(L222:O222)=0,"",M222/SUM(L222:O222))</f>
        <v/>
      </c>
      <c r="V222" s="7">
        <f>IF(SUM(L222:O222)=0,"",N222/SUM(L222:O222))</f>
        <v/>
      </c>
      <c r="W222" s="7">
        <f>IF(SUM(L222:O222)=0,"",O222/SUM(L222:O222))</f>
        <v/>
      </c>
    </row>
    <row r="223">
      <c r="A223" t="n">
        <v>250</v>
      </c>
      <c r="B223" t="inlineStr">
        <is>
          <t>The Rock Center for Youth Development - $50,000</t>
        </is>
      </c>
      <c r="C223" t="n">
        <v>0</v>
      </c>
      <c r="D223" t="n">
        <v>1</v>
      </c>
      <c r="E223" t="n">
        <v>0</v>
      </c>
      <c r="F223" t="n">
        <v>0</v>
      </c>
      <c r="G223" t="b">
        <v>0</v>
      </c>
      <c r="H223" t="n">
        <v>0</v>
      </c>
      <c r="I223" t="n">
        <v>0</v>
      </c>
      <c r="J223" t="n">
        <v>0</v>
      </c>
      <c r="K223" t="n">
        <v>0</v>
      </c>
      <c r="L223" t="n">
        <v>1</v>
      </c>
      <c r="M223" t="n">
        <v>0</v>
      </c>
      <c r="N223" t="n">
        <v>2</v>
      </c>
      <c r="O223" t="n">
        <v>0</v>
      </c>
      <c r="P223" s="7">
        <f>IF(SUM(H223:K223)=0,"",H223/SUM(H223:K223))</f>
        <v/>
      </c>
      <c r="Q223" s="7">
        <f>IF(SUM(H223:K223)=0,"",I223/SUM(H223:K223))</f>
        <v/>
      </c>
      <c r="R223" s="7">
        <f>IF(SUM(H223:K223)=0,"",J223/SUM(H223:K223))</f>
        <v/>
      </c>
      <c r="S223" s="7">
        <f>IF(SUM(H223:K223)=0,"",K223/SUM(H223:K223))</f>
        <v/>
      </c>
      <c r="T223" s="7">
        <f>IF(SUM(L223:O223)=0,"",L223/SUM(L223:O223))</f>
        <v/>
      </c>
      <c r="U223" s="7">
        <f>IF(SUM(L223:O223)=0,"",M223/SUM(L223:O223))</f>
        <v/>
      </c>
      <c r="V223" s="7">
        <f>IF(SUM(L223:O223)=0,"",N223/SUM(L223:O223))</f>
        <v/>
      </c>
      <c r="W223" s="7">
        <f>IF(SUM(L223:O223)=0,"",O223/SUM(L223:O223))</f>
        <v/>
      </c>
    </row>
    <row r="224">
      <c r="A224" t="n">
        <v>251</v>
      </c>
      <c r="B224" t="inlineStr">
        <is>
          <t>Positive Youth Development Certificate</t>
        </is>
      </c>
      <c r="C224" t="n">
        <v>0</v>
      </c>
      <c r="D224" t="n">
        <v>1</v>
      </c>
      <c r="E224" t="n">
        <v>0</v>
      </c>
      <c r="F224" t="n">
        <v>0</v>
      </c>
      <c r="G224" t="b">
        <v>0</v>
      </c>
      <c r="H224" t="n">
        <v>0</v>
      </c>
      <c r="I224" t="n">
        <v>0</v>
      </c>
      <c r="J224" t="n">
        <v>0</v>
      </c>
      <c r="K224" t="n">
        <v>0</v>
      </c>
      <c r="L224" t="n">
        <v>1</v>
      </c>
      <c r="M224" t="n">
        <v>0</v>
      </c>
      <c r="N224" t="n">
        <v>2</v>
      </c>
      <c r="O224" t="n">
        <v>0</v>
      </c>
      <c r="P224" s="7">
        <f>IF(SUM(H224:K224)=0,"",H224/SUM(H224:K224))</f>
        <v/>
      </c>
      <c r="Q224" s="7">
        <f>IF(SUM(H224:K224)=0,"",I224/SUM(H224:K224))</f>
        <v/>
      </c>
      <c r="R224" s="7">
        <f>IF(SUM(H224:K224)=0,"",J224/SUM(H224:K224))</f>
        <v/>
      </c>
      <c r="S224" s="7">
        <f>IF(SUM(H224:K224)=0,"",K224/SUM(H224:K224))</f>
        <v/>
      </c>
      <c r="T224" s="7">
        <f>IF(SUM(L224:O224)=0,"",L224/SUM(L224:O224))</f>
        <v/>
      </c>
      <c r="U224" s="7">
        <f>IF(SUM(L224:O224)=0,"",M224/SUM(L224:O224))</f>
        <v/>
      </c>
      <c r="V224" s="7">
        <f>IF(SUM(L224:O224)=0,"",N224/SUM(L224:O224))</f>
        <v/>
      </c>
      <c r="W224" s="7">
        <f>IF(SUM(L224:O224)=0,"",O224/SUM(L224:O224))</f>
        <v/>
      </c>
    </row>
    <row r="225">
      <c r="A225" t="n">
        <v>253</v>
      </c>
      <c r="B225" t="inlineStr">
        <is>
          <t>Competitive Drumline of Mid-Michigan - $10,000*</t>
        </is>
      </c>
      <c r="C225" t="n">
        <v>0</v>
      </c>
      <c r="D225" t="n">
        <v>1</v>
      </c>
      <c r="E225" t="n">
        <v>0</v>
      </c>
      <c r="F225" t="n">
        <v>0</v>
      </c>
      <c r="G225" t="b">
        <v>0</v>
      </c>
      <c r="H225" t="n">
        <v>0</v>
      </c>
      <c r="I225" t="n">
        <v>0</v>
      </c>
      <c r="J225" t="n">
        <v>0</v>
      </c>
      <c r="K225" t="n">
        <v>0</v>
      </c>
      <c r="L225" t="n">
        <v>1</v>
      </c>
      <c r="M225" t="n">
        <v>0</v>
      </c>
      <c r="N225" t="n">
        <v>2</v>
      </c>
      <c r="O225" t="n">
        <v>0</v>
      </c>
      <c r="P225" s="7">
        <f>IF(SUM(H225:K225)=0,"",H225/SUM(H225:K225))</f>
        <v/>
      </c>
      <c r="Q225" s="7">
        <f>IF(SUM(H225:K225)=0,"",I225/SUM(H225:K225))</f>
        <v/>
      </c>
      <c r="R225" s="7">
        <f>IF(SUM(H225:K225)=0,"",J225/SUM(H225:K225))</f>
        <v/>
      </c>
      <c r="S225" s="7">
        <f>IF(SUM(H225:K225)=0,"",K225/SUM(H225:K225))</f>
        <v/>
      </c>
      <c r="T225" s="7">
        <f>IF(SUM(L225:O225)=0,"",L225/SUM(L225:O225))</f>
        <v/>
      </c>
      <c r="U225" s="7">
        <f>IF(SUM(L225:O225)=0,"",M225/SUM(L225:O225))</f>
        <v/>
      </c>
      <c r="V225" s="7">
        <f>IF(SUM(L225:O225)=0,"",N225/SUM(L225:O225))</f>
        <v/>
      </c>
      <c r="W225" s="7">
        <f>IF(SUM(L225:O225)=0,"",O225/SUM(L225:O225))</f>
        <v/>
      </c>
    </row>
    <row r="226">
      <c r="A226" t="n">
        <v>254</v>
      </c>
      <c r="B226" t="inlineStr">
        <is>
          <t>Programming &amp;amp; Equipment Expansion</t>
        </is>
      </c>
      <c r="C226" t="n">
        <v>0</v>
      </c>
      <c r="D226" t="n">
        <v>1</v>
      </c>
      <c r="E226" t="n">
        <v>0</v>
      </c>
      <c r="F226" t="n">
        <v>0</v>
      </c>
      <c r="G226" t="b">
        <v>0</v>
      </c>
      <c r="H226" t="n">
        <v>0</v>
      </c>
      <c r="I226" t="n">
        <v>0</v>
      </c>
      <c r="J226" t="n">
        <v>0</v>
      </c>
      <c r="K226" t="n">
        <v>0</v>
      </c>
      <c r="L226" t="n">
        <v>1</v>
      </c>
      <c r="M226" t="n">
        <v>0</v>
      </c>
      <c r="N226" t="n">
        <v>2</v>
      </c>
      <c r="O226" t="n">
        <v>0</v>
      </c>
      <c r="P226" s="7">
        <f>IF(SUM(H226:K226)=0,"",H226/SUM(H226:K226))</f>
        <v/>
      </c>
      <c r="Q226" s="7">
        <f>IF(SUM(H226:K226)=0,"",I226/SUM(H226:K226))</f>
        <v/>
      </c>
      <c r="R226" s="7">
        <f>IF(SUM(H226:K226)=0,"",J226/SUM(H226:K226))</f>
        <v/>
      </c>
      <c r="S226" s="7">
        <f>IF(SUM(H226:K226)=0,"",K226/SUM(H226:K226))</f>
        <v/>
      </c>
      <c r="T226" s="7">
        <f>IF(SUM(L226:O226)=0,"",L226/SUM(L226:O226))</f>
        <v/>
      </c>
      <c r="U226" s="7">
        <f>IF(SUM(L226:O226)=0,"",M226/SUM(L226:O226))</f>
        <v/>
      </c>
      <c r="V226" s="7">
        <f>IF(SUM(L226:O226)=0,"",N226/SUM(L226:O226))</f>
        <v/>
      </c>
      <c r="W226" s="7">
        <f>IF(SUM(L226:O226)=0,"",O226/SUM(L226:O226))</f>
        <v/>
      </c>
    </row>
    <row r="227">
      <c r="A227" t="n">
        <v>255</v>
      </c>
      <c r="B227" t="inlineStr">
        <is>
          <t>The Legacy Center for Community Success - $10,000</t>
        </is>
      </c>
      <c r="C227" t="n">
        <v>0</v>
      </c>
      <c r="D227" t="n">
        <v>1</v>
      </c>
      <c r="E227" t="n">
        <v>0</v>
      </c>
      <c r="F227" t="n">
        <v>0</v>
      </c>
      <c r="G227" t="b">
        <v>0</v>
      </c>
      <c r="H227" t="n">
        <v>0</v>
      </c>
      <c r="I227" t="n">
        <v>0</v>
      </c>
      <c r="J227" t="n">
        <v>0</v>
      </c>
      <c r="K227" t="n">
        <v>0</v>
      </c>
      <c r="L227" t="n">
        <v>1</v>
      </c>
      <c r="M227" t="n">
        <v>0</v>
      </c>
      <c r="N227" t="n">
        <v>2</v>
      </c>
      <c r="O227" t="n">
        <v>0</v>
      </c>
      <c r="P227" s="7">
        <f>IF(SUM(H227:K227)=0,"",H227/SUM(H227:K227))</f>
        <v/>
      </c>
      <c r="Q227" s="7">
        <f>IF(SUM(H227:K227)=0,"",I227/SUM(H227:K227))</f>
        <v/>
      </c>
      <c r="R227" s="7">
        <f>IF(SUM(H227:K227)=0,"",J227/SUM(H227:K227))</f>
        <v/>
      </c>
      <c r="S227" s="7">
        <f>IF(SUM(H227:K227)=0,"",K227/SUM(H227:K227))</f>
        <v/>
      </c>
      <c r="T227" s="7">
        <f>IF(SUM(L227:O227)=0,"",L227/SUM(L227:O227))</f>
        <v/>
      </c>
      <c r="U227" s="7">
        <f>IF(SUM(L227:O227)=0,"",M227/SUM(L227:O227))</f>
        <v/>
      </c>
      <c r="V227" s="7">
        <f>IF(SUM(L227:O227)=0,"",N227/SUM(L227:O227))</f>
        <v/>
      </c>
      <c r="W227" s="7">
        <f>IF(SUM(L227:O227)=0,"",O227/SUM(L227:O227))</f>
        <v/>
      </c>
    </row>
    <row r="228">
      <c r="A228" t="n">
        <v>256</v>
      </c>
      <c r="B228" t="inlineStr">
        <is>
          <t>Read 2 Lead Summer Phonics Intervention Program</t>
        </is>
      </c>
      <c r="C228" t="n">
        <v>0</v>
      </c>
      <c r="D228" t="n">
        <v>1</v>
      </c>
      <c r="E228" t="n">
        <v>0</v>
      </c>
      <c r="F228" t="n">
        <v>0</v>
      </c>
      <c r="G228" t="b">
        <v>0</v>
      </c>
      <c r="H228" t="n">
        <v>0</v>
      </c>
      <c r="I228" t="n">
        <v>0</v>
      </c>
      <c r="J228" t="n">
        <v>0</v>
      </c>
      <c r="K228" t="n">
        <v>0</v>
      </c>
      <c r="L228" t="n">
        <v>0</v>
      </c>
      <c r="M228" t="n">
        <v>0</v>
      </c>
      <c r="N228" t="n">
        <v>2</v>
      </c>
      <c r="O228" t="n">
        <v>1</v>
      </c>
      <c r="P228" s="7">
        <f>IF(SUM(H228:K228)=0,"",H228/SUM(H228:K228))</f>
        <v/>
      </c>
      <c r="Q228" s="7">
        <f>IF(SUM(H228:K228)=0,"",I228/SUM(H228:K228))</f>
        <v/>
      </c>
      <c r="R228" s="7">
        <f>IF(SUM(H228:K228)=0,"",J228/SUM(H228:K228))</f>
        <v/>
      </c>
      <c r="S228" s="7">
        <f>IF(SUM(H228:K228)=0,"",K228/SUM(H228:K228))</f>
        <v/>
      </c>
      <c r="T228" s="7">
        <f>IF(SUM(L228:O228)=0,"",L228/SUM(L228:O228))</f>
        <v/>
      </c>
      <c r="U228" s="7">
        <f>IF(SUM(L228:O228)=0,"",M228/SUM(L228:O228))</f>
        <v/>
      </c>
      <c r="V228" s="7">
        <f>IF(SUM(L228:O228)=0,"",N228/SUM(L228:O228))</f>
        <v/>
      </c>
      <c r="W228" s="7">
        <f>IF(SUM(L228:O228)=0,"",O228/SUM(L228:O228))</f>
        <v/>
      </c>
    </row>
    <row r="229">
      <c r="A229" t="n">
        <v>257</v>
      </c>
      <c r="B229" t="inlineStr">
        <is>
          <t>BUILDING OUR LIVELIHOOD</t>
        </is>
      </c>
      <c r="C229" t="n">
        <v>0</v>
      </c>
      <c r="D229" t="n">
        <v>1</v>
      </c>
      <c r="E229" t="n">
        <v>0</v>
      </c>
      <c r="F229" t="n">
        <v>0</v>
      </c>
      <c r="G229" t="b">
        <v>0</v>
      </c>
      <c r="H229" t="n">
        <v>0</v>
      </c>
      <c r="I229" t="n">
        <v>0</v>
      </c>
      <c r="J229" t="n">
        <v>0</v>
      </c>
      <c r="K229" t="n">
        <v>0</v>
      </c>
      <c r="L229" t="n">
        <v>1</v>
      </c>
      <c r="M229" t="n">
        <v>0</v>
      </c>
      <c r="N229" t="n">
        <v>2</v>
      </c>
      <c r="O229" t="n">
        <v>0</v>
      </c>
      <c r="P229" s="7">
        <f>IF(SUM(H229:K229)=0,"",H229/SUM(H229:K229))</f>
        <v/>
      </c>
      <c r="Q229" s="7">
        <f>IF(SUM(H229:K229)=0,"",I229/SUM(H229:K229))</f>
        <v/>
      </c>
      <c r="R229" s="7">
        <f>IF(SUM(H229:K229)=0,"",J229/SUM(H229:K229))</f>
        <v/>
      </c>
      <c r="S229" s="7">
        <f>IF(SUM(H229:K229)=0,"",K229/SUM(H229:K229))</f>
        <v/>
      </c>
      <c r="T229" s="7">
        <f>IF(SUM(L229:O229)=0,"",L229/SUM(L229:O229))</f>
        <v/>
      </c>
      <c r="U229" s="7">
        <f>IF(SUM(L229:O229)=0,"",M229/SUM(L229:O229))</f>
        <v/>
      </c>
      <c r="V229" s="7">
        <f>IF(SUM(L229:O229)=0,"",N229/SUM(L229:O229))</f>
        <v/>
      </c>
      <c r="W229" s="7">
        <f>IF(SUM(L229:O229)=0,"",O229/SUM(L229:O229))</f>
        <v/>
      </c>
    </row>
    <row r="230">
      <c r="A230" t="n">
        <v>258</v>
      </c>
      <c r="B230" t="inlineStr">
        <is>
          <t>Meridian Public Schools - $10,000*</t>
        </is>
      </c>
      <c r="C230" t="n">
        <v>1</v>
      </c>
      <c r="D230" t="n">
        <v>1</v>
      </c>
      <c r="E230" t="n">
        <v>0</v>
      </c>
      <c r="F230" t="n">
        <v>0</v>
      </c>
      <c r="G230" t="b">
        <v>1</v>
      </c>
      <c r="H230" t="n">
        <v>0</v>
      </c>
      <c r="I230" t="n">
        <v>0</v>
      </c>
      <c r="J230" t="n">
        <v>2</v>
      </c>
      <c r="K230" t="n">
        <v>0</v>
      </c>
      <c r="L230" t="n">
        <v>1</v>
      </c>
      <c r="M230" t="n">
        <v>0</v>
      </c>
      <c r="N230" t="n">
        <v>2</v>
      </c>
      <c r="O230" t="n">
        <v>0</v>
      </c>
      <c r="P230" s="7">
        <f>IF(SUM(H230:K230)=0,"",H230/SUM(H230:K230))</f>
        <v/>
      </c>
      <c r="Q230" s="7">
        <f>IF(SUM(H230:K230)=0,"",I230/SUM(H230:K230))</f>
        <v/>
      </c>
      <c r="R230" s="7">
        <f>IF(SUM(H230:K230)=0,"",J230/SUM(H230:K230))</f>
        <v/>
      </c>
      <c r="S230" s="7">
        <f>IF(SUM(H230:K230)=0,"",K230/SUM(H230:K230))</f>
        <v/>
      </c>
      <c r="T230" s="7">
        <f>IF(SUM(L230:O230)=0,"",L230/SUM(L230:O230))</f>
        <v/>
      </c>
      <c r="U230" s="7">
        <f>IF(SUM(L230:O230)=0,"",M230/SUM(L230:O230))</f>
        <v/>
      </c>
      <c r="V230" s="7">
        <f>IF(SUM(L230:O230)=0,"",N230/SUM(L230:O230))</f>
        <v/>
      </c>
      <c r="W230" s="7">
        <f>IF(SUM(L230:O230)=0,"",O230/SUM(L230:O230))</f>
        <v/>
      </c>
    </row>
    <row r="231">
      <c r="A231" t="n">
        <v>259</v>
      </c>
      <c r="B231" t="inlineStr">
        <is>
          <t>Nature Education Support</t>
        </is>
      </c>
      <c r="C231" t="n">
        <v>0</v>
      </c>
      <c r="D231" t="n">
        <v>1</v>
      </c>
      <c r="E231" t="n">
        <v>0</v>
      </c>
      <c r="F231" t="n">
        <v>0</v>
      </c>
      <c r="G231" t="b">
        <v>0</v>
      </c>
      <c r="H231" t="n">
        <v>0</v>
      </c>
      <c r="I231" t="n">
        <v>0</v>
      </c>
      <c r="J231" t="n">
        <v>0</v>
      </c>
      <c r="K231" t="n">
        <v>0</v>
      </c>
      <c r="L231" t="n">
        <v>1</v>
      </c>
      <c r="M231" t="n">
        <v>0</v>
      </c>
      <c r="N231" t="n">
        <v>2</v>
      </c>
      <c r="O231" t="n">
        <v>0</v>
      </c>
      <c r="P231" s="7">
        <f>IF(SUM(H231:K231)=0,"",H231/SUM(H231:K231))</f>
        <v/>
      </c>
      <c r="Q231" s="7">
        <f>IF(SUM(H231:K231)=0,"",I231/SUM(H231:K231))</f>
        <v/>
      </c>
      <c r="R231" s="7">
        <f>IF(SUM(H231:K231)=0,"",J231/SUM(H231:K231))</f>
        <v/>
      </c>
      <c r="S231" s="7">
        <f>IF(SUM(H231:K231)=0,"",K231/SUM(H231:K231))</f>
        <v/>
      </c>
      <c r="T231" s="7">
        <f>IF(SUM(L231:O231)=0,"",L231/SUM(L231:O231))</f>
        <v/>
      </c>
      <c r="U231" s="7">
        <f>IF(SUM(L231:O231)=0,"",M231/SUM(L231:O231))</f>
        <v/>
      </c>
      <c r="V231" s="7">
        <f>IF(SUM(L231:O231)=0,"",N231/SUM(L231:O231))</f>
        <v/>
      </c>
      <c r="W231" s="7">
        <f>IF(SUM(L231:O231)=0,"",O231/SUM(L231:O231))</f>
        <v/>
      </c>
    </row>
    <row r="232">
      <c r="A232" t="n">
        <v>260</v>
      </c>
      <c r="B232" t="inlineStr">
        <is>
          <t>Creative 360 - $10,000*</t>
        </is>
      </c>
      <c r="C232" t="n">
        <v>0</v>
      </c>
      <c r="D232" t="n">
        <v>1</v>
      </c>
      <c r="E232" t="n">
        <v>0</v>
      </c>
      <c r="F232" t="n">
        <v>0</v>
      </c>
      <c r="G232" t="b">
        <v>0</v>
      </c>
      <c r="H232" t="n">
        <v>0</v>
      </c>
      <c r="I232" t="n">
        <v>0</v>
      </c>
      <c r="J232" t="n">
        <v>0</v>
      </c>
      <c r="K232" t="n">
        <v>0</v>
      </c>
      <c r="L232" t="n">
        <v>1</v>
      </c>
      <c r="M232" t="n">
        <v>0</v>
      </c>
      <c r="N232" t="n">
        <v>2</v>
      </c>
      <c r="O232" t="n">
        <v>0</v>
      </c>
      <c r="P232" s="7">
        <f>IF(SUM(H232:K232)=0,"",H232/SUM(H232:K232))</f>
        <v/>
      </c>
      <c r="Q232" s="7">
        <f>IF(SUM(H232:K232)=0,"",I232/SUM(H232:K232))</f>
        <v/>
      </c>
      <c r="R232" s="7">
        <f>IF(SUM(H232:K232)=0,"",J232/SUM(H232:K232))</f>
        <v/>
      </c>
      <c r="S232" s="7">
        <f>IF(SUM(H232:K232)=0,"",K232/SUM(H232:K232))</f>
        <v/>
      </c>
      <c r="T232" s="7">
        <f>IF(SUM(L232:O232)=0,"",L232/SUM(L232:O232))</f>
        <v/>
      </c>
      <c r="U232" s="7">
        <f>IF(SUM(L232:O232)=0,"",M232/SUM(L232:O232))</f>
        <v/>
      </c>
      <c r="V232" s="7">
        <f>IF(SUM(L232:O232)=0,"",N232/SUM(L232:O232))</f>
        <v/>
      </c>
      <c r="W232" s="7">
        <f>IF(SUM(L232:O232)=0,"",O232/SUM(L232:O232))</f>
        <v/>
      </c>
    </row>
    <row r="233">
      <c r="A233" t="n">
        <v>261</v>
      </c>
      <c r="B233" t="inlineStr">
        <is>
          <t>Sprouts &amp;amp; STEMS: Children's Garden with Integrated Arts &amp;amp; Science</t>
        </is>
      </c>
      <c r="C233" t="n">
        <v>0</v>
      </c>
      <c r="D233" t="n">
        <v>1</v>
      </c>
      <c r="E233" t="n">
        <v>0</v>
      </c>
      <c r="F233" t="n">
        <v>0</v>
      </c>
      <c r="G233" t="b">
        <v>0</v>
      </c>
      <c r="H233" t="n">
        <v>0</v>
      </c>
      <c r="I233" t="n">
        <v>0</v>
      </c>
      <c r="J233" t="n">
        <v>0</v>
      </c>
      <c r="K233" t="n">
        <v>0</v>
      </c>
      <c r="L233" t="n">
        <v>1</v>
      </c>
      <c r="M233" t="n">
        <v>0</v>
      </c>
      <c r="N233" t="n">
        <v>2</v>
      </c>
      <c r="O233" t="n">
        <v>0</v>
      </c>
      <c r="P233" s="7">
        <f>IF(SUM(H233:K233)=0,"",H233/SUM(H233:K233))</f>
        <v/>
      </c>
      <c r="Q233" s="7">
        <f>IF(SUM(H233:K233)=0,"",I233/SUM(H233:K233))</f>
        <v/>
      </c>
      <c r="R233" s="7">
        <f>IF(SUM(H233:K233)=0,"",J233/SUM(H233:K233))</f>
        <v/>
      </c>
      <c r="S233" s="7">
        <f>IF(SUM(H233:K233)=0,"",K233/SUM(H233:K233))</f>
        <v/>
      </c>
      <c r="T233" s="7">
        <f>IF(SUM(L233:O233)=0,"",L233/SUM(L233:O233))</f>
        <v/>
      </c>
      <c r="U233" s="7">
        <f>IF(SUM(L233:O233)=0,"",M233/SUM(L233:O233))</f>
        <v/>
      </c>
      <c r="V233" s="7">
        <f>IF(SUM(L233:O233)=0,"",N233/SUM(L233:O233))</f>
        <v/>
      </c>
      <c r="W233" s="7">
        <f>IF(SUM(L233:O233)=0,"",O233/SUM(L233:O233))</f>
        <v/>
      </c>
    </row>
    <row r="234">
      <c r="A234" t="n">
        <v>262</v>
      </c>
      <c r="B234" t="inlineStr">
        <is>
          <t>Community Construct - $40,000</t>
        </is>
      </c>
      <c r="C234" t="n">
        <v>0</v>
      </c>
      <c r="D234" t="n">
        <v>1</v>
      </c>
      <c r="E234" t="n">
        <v>0</v>
      </c>
      <c r="F234" t="n">
        <v>0</v>
      </c>
      <c r="G234" t="b">
        <v>0</v>
      </c>
      <c r="H234" t="n">
        <v>0</v>
      </c>
      <c r="I234" t="n">
        <v>0</v>
      </c>
      <c r="J234" t="n">
        <v>0</v>
      </c>
      <c r="K234" t="n">
        <v>0</v>
      </c>
      <c r="L234" t="n">
        <v>1</v>
      </c>
      <c r="M234" t="n">
        <v>0</v>
      </c>
      <c r="N234" t="n">
        <v>2</v>
      </c>
      <c r="O234" t="n">
        <v>0</v>
      </c>
      <c r="P234" s="7">
        <f>IF(SUM(H234:K234)=0,"",H234/SUM(H234:K234))</f>
        <v/>
      </c>
      <c r="Q234" s="7">
        <f>IF(SUM(H234:K234)=0,"",I234/SUM(H234:K234))</f>
        <v/>
      </c>
      <c r="R234" s="7">
        <f>IF(SUM(H234:K234)=0,"",J234/SUM(H234:K234))</f>
        <v/>
      </c>
      <c r="S234" s="7">
        <f>IF(SUM(H234:K234)=0,"",K234/SUM(H234:K234))</f>
        <v/>
      </c>
      <c r="T234" s="7">
        <f>IF(SUM(L234:O234)=0,"",L234/SUM(L234:O234))</f>
        <v/>
      </c>
      <c r="U234" s="7">
        <f>IF(SUM(L234:O234)=0,"",M234/SUM(L234:O234))</f>
        <v/>
      </c>
      <c r="V234" s="7">
        <f>IF(SUM(L234:O234)=0,"",N234/SUM(L234:O234))</f>
        <v/>
      </c>
      <c r="W234" s="7">
        <f>IF(SUM(L234:O234)=0,"",O234/SUM(L234:O234))</f>
        <v/>
      </c>
    </row>
    <row r="235">
      <c r="A235" t="n">
        <v>263</v>
      </c>
      <c r="B235" t="inlineStr">
        <is>
          <t>Community Construct - Building Community with Skills for Tomorrow</t>
        </is>
      </c>
      <c r="C235" t="n">
        <v>0</v>
      </c>
      <c r="D235" t="n">
        <v>1</v>
      </c>
      <c r="E235" t="n">
        <v>0</v>
      </c>
      <c r="F235" t="n">
        <v>0</v>
      </c>
      <c r="G235" t="b">
        <v>0</v>
      </c>
      <c r="H235" t="n">
        <v>0</v>
      </c>
      <c r="I235" t="n">
        <v>0</v>
      </c>
      <c r="J235" t="n">
        <v>0</v>
      </c>
      <c r="K235" t="n">
        <v>0</v>
      </c>
      <c r="L235" t="n">
        <v>1</v>
      </c>
      <c r="M235" t="n">
        <v>0</v>
      </c>
      <c r="N235" t="n">
        <v>2</v>
      </c>
      <c r="O235" t="n">
        <v>0</v>
      </c>
      <c r="P235" s="7">
        <f>IF(SUM(H235:K235)=0,"",H235/SUM(H235:K235))</f>
        <v/>
      </c>
      <c r="Q235" s="7">
        <f>IF(SUM(H235:K235)=0,"",I235/SUM(H235:K235))</f>
        <v/>
      </c>
      <c r="R235" s="7">
        <f>IF(SUM(H235:K235)=0,"",J235/SUM(H235:K235))</f>
        <v/>
      </c>
      <c r="S235" s="7">
        <f>IF(SUM(H235:K235)=0,"",K235/SUM(H235:K235))</f>
        <v/>
      </c>
      <c r="T235" s="7">
        <f>IF(SUM(L235:O235)=0,"",L235/SUM(L235:O235))</f>
        <v/>
      </c>
      <c r="U235" s="7">
        <f>IF(SUM(L235:O235)=0,"",M235/SUM(L235:O235))</f>
        <v/>
      </c>
      <c r="V235" s="7">
        <f>IF(SUM(L235:O235)=0,"",N235/SUM(L235:O235))</f>
        <v/>
      </c>
      <c r="W235" s="7">
        <f>IF(SUM(L235:O235)=0,"",O235/SUM(L235:O235))</f>
        <v/>
      </c>
    </row>
    <row r="236">
      <c r="A236" t="n">
        <v>264</v>
      </c>
      <c r="B236" t="inlineStr">
        <is>
          <t>Central Michigan University Research Corporation - $40,000</t>
        </is>
      </c>
      <c r="C236" t="n">
        <v>1</v>
      </c>
      <c r="D236" t="n">
        <v>1</v>
      </c>
      <c r="E236" t="n">
        <v>0</v>
      </c>
      <c r="F236" t="n">
        <v>0</v>
      </c>
      <c r="G236" t="b">
        <v>1</v>
      </c>
      <c r="H236" t="n">
        <v>0</v>
      </c>
      <c r="I236" t="n">
        <v>0</v>
      </c>
      <c r="J236" t="n">
        <v>2</v>
      </c>
      <c r="K236" t="n">
        <v>0</v>
      </c>
      <c r="L236" t="n">
        <v>1</v>
      </c>
      <c r="M236" t="n">
        <v>0</v>
      </c>
      <c r="N236" t="n">
        <v>2</v>
      </c>
      <c r="O236" t="n">
        <v>0</v>
      </c>
      <c r="P236" s="7">
        <f>IF(SUM(H236:K236)=0,"",H236/SUM(H236:K236))</f>
        <v/>
      </c>
      <c r="Q236" s="7">
        <f>IF(SUM(H236:K236)=0,"",I236/SUM(H236:K236))</f>
        <v/>
      </c>
      <c r="R236" s="7">
        <f>IF(SUM(H236:K236)=0,"",J236/SUM(H236:K236))</f>
        <v/>
      </c>
      <c r="S236" s="7">
        <f>IF(SUM(H236:K236)=0,"",K236/SUM(H236:K236))</f>
        <v/>
      </c>
      <c r="T236" s="7">
        <f>IF(SUM(L236:O236)=0,"",L236/SUM(L236:O236))</f>
        <v/>
      </c>
      <c r="U236" s="7">
        <f>IF(SUM(L236:O236)=0,"",M236/SUM(L236:O236))</f>
        <v/>
      </c>
      <c r="V236" s="7">
        <f>IF(SUM(L236:O236)=0,"",N236/SUM(L236:O236))</f>
        <v/>
      </c>
      <c r="W236" s="7">
        <f>IF(SUM(L236:O236)=0,"",O236/SUM(L236:O236))</f>
        <v/>
      </c>
    </row>
    <row r="237">
      <c r="A237" t="n">
        <v>265</v>
      </c>
      <c r="B237" t="inlineStr">
        <is>
          <t>Entrepreneur Like Me: An Inclusive Entrepreneur Initiative [community_foundation_tag] staff utilized a day of service to assist with cleaning The Depot in Coleman. The Depot houses the Coleman Culinary &amp;amp; Hospitality Project for Coleman Community Schools.</t>
        </is>
      </c>
      <c r="C237" t="n">
        <v>1</v>
      </c>
      <c r="D237" t="n">
        <v>2</v>
      </c>
      <c r="E237" t="n">
        <v>0</v>
      </c>
      <c r="F237" t="n">
        <v>0</v>
      </c>
      <c r="G237" t="b">
        <v>1</v>
      </c>
      <c r="H237" t="n">
        <v>0</v>
      </c>
      <c r="I237" t="n">
        <v>0</v>
      </c>
      <c r="J237" t="n">
        <v>2</v>
      </c>
      <c r="K237" t="n">
        <v>0</v>
      </c>
      <c r="L237" t="n">
        <v>1</v>
      </c>
      <c r="M237" t="n">
        <v>0</v>
      </c>
      <c r="N237" t="n">
        <v>4</v>
      </c>
      <c r="O237" t="n">
        <v>1</v>
      </c>
      <c r="P237" s="7">
        <f>IF(SUM(H237:K237)=0,"",H237/SUM(H237:K237))</f>
        <v/>
      </c>
      <c r="Q237" s="7">
        <f>IF(SUM(H237:K237)=0,"",I237/SUM(H237:K237))</f>
        <v/>
      </c>
      <c r="R237" s="7">
        <f>IF(SUM(H237:K237)=0,"",J237/SUM(H237:K237))</f>
        <v/>
      </c>
      <c r="S237" s="7">
        <f>IF(SUM(H237:K237)=0,"",K237/SUM(H237:K237))</f>
        <v/>
      </c>
      <c r="T237" s="7">
        <f>IF(SUM(L237:O237)=0,"",L237/SUM(L237:O237))</f>
        <v/>
      </c>
      <c r="U237" s="7">
        <f>IF(SUM(L237:O237)=0,"",M237/SUM(L237:O237))</f>
        <v/>
      </c>
      <c r="V237" s="7">
        <f>IF(SUM(L237:O237)=0,"",N237/SUM(L237:O237))</f>
        <v/>
      </c>
      <c r="W237" s="7">
        <f>IF(SUM(L237:O237)=0,"",O237/SUM(L237:O237))</f>
        <v/>
      </c>
    </row>
    <row r="238">
      <c r="A238" t="n">
        <v>266</v>
      </c>
      <c r="B238" t="inlineStr">
        <is>
          <t>This project received a grant from [community_foundation_tag] and the Midland Area Youth Action Council.</t>
        </is>
      </c>
      <c r="C238" t="n">
        <v>1</v>
      </c>
      <c r="D238" t="n">
        <v>3</v>
      </c>
      <c r="E238" t="n">
        <v>0</v>
      </c>
      <c r="F238" t="n">
        <v>0</v>
      </c>
      <c r="G238" t="b">
        <v>1</v>
      </c>
      <c r="H238" t="n">
        <v>0</v>
      </c>
      <c r="I238" t="n">
        <v>0</v>
      </c>
      <c r="J238" t="n">
        <v>2</v>
      </c>
      <c r="K238" t="n">
        <v>0</v>
      </c>
      <c r="L238" t="n">
        <v>2</v>
      </c>
      <c r="M238" t="n">
        <v>0</v>
      </c>
      <c r="N238" t="n">
        <v>5</v>
      </c>
      <c r="O238" t="n">
        <v>2</v>
      </c>
      <c r="P238" s="7">
        <f>IF(SUM(H238:K238)=0,"",H238/SUM(H238:K238))</f>
        <v/>
      </c>
      <c r="Q238" s="7">
        <f>IF(SUM(H238:K238)=0,"",I238/SUM(H238:K238))</f>
        <v/>
      </c>
      <c r="R238" s="7">
        <f>IF(SUM(H238:K238)=0,"",J238/SUM(H238:K238))</f>
        <v/>
      </c>
      <c r="S238" s="7">
        <f>IF(SUM(H238:K238)=0,"",K238/SUM(H238:K238))</f>
        <v/>
      </c>
      <c r="T238" s="7">
        <f>IF(SUM(L238:O238)=0,"",L238/SUM(L238:O238))</f>
        <v/>
      </c>
      <c r="U238" s="7">
        <f>IF(SUM(L238:O238)=0,"",M238/SUM(L238:O238))</f>
        <v/>
      </c>
      <c r="V238" s="7">
        <f>IF(SUM(L238:O238)=0,"",N238/SUM(L238:O238))</f>
        <v/>
      </c>
      <c r="W238" s="7">
        <f>IF(SUM(L238:O238)=0,"",O238/SUM(L238:O238))</f>
        <v/>
      </c>
    </row>
    <row r="239">
      <c r="A239" t="n">
        <v>267</v>
      </c>
      <c r="B239" t="inlineStr">
        <is>
          <t>CARING FOR OUR PEOPLE</t>
        </is>
      </c>
      <c r="C239" t="n">
        <v>0</v>
      </c>
      <c r="D239" t="n">
        <v>1</v>
      </c>
      <c r="E239" t="n">
        <v>0</v>
      </c>
      <c r="F239" t="n">
        <v>0</v>
      </c>
      <c r="G239" t="b">
        <v>0</v>
      </c>
      <c r="H239" t="n">
        <v>0</v>
      </c>
      <c r="I239" t="n">
        <v>0</v>
      </c>
      <c r="J239" t="n">
        <v>0</v>
      </c>
      <c r="K239" t="n">
        <v>0</v>
      </c>
      <c r="L239" t="n">
        <v>1</v>
      </c>
      <c r="M239" t="n">
        <v>0</v>
      </c>
      <c r="N239" t="n">
        <v>0</v>
      </c>
      <c r="O239" t="n">
        <v>2</v>
      </c>
      <c r="P239" s="7">
        <f>IF(SUM(H239:K239)=0,"",H239/SUM(H239:K239))</f>
        <v/>
      </c>
      <c r="Q239" s="7">
        <f>IF(SUM(H239:K239)=0,"",I239/SUM(H239:K239))</f>
        <v/>
      </c>
      <c r="R239" s="7">
        <f>IF(SUM(H239:K239)=0,"",J239/SUM(H239:K239))</f>
        <v/>
      </c>
      <c r="S239" s="7">
        <f>IF(SUM(H239:K239)=0,"",K239/SUM(H239:K239))</f>
        <v/>
      </c>
      <c r="T239" s="7">
        <f>IF(SUM(L239:O239)=0,"",L239/SUM(L239:O239))</f>
        <v/>
      </c>
      <c r="U239" s="7">
        <f>IF(SUM(L239:O239)=0,"",M239/SUM(L239:O239))</f>
        <v/>
      </c>
      <c r="V239" s="7">
        <f>IF(SUM(L239:O239)=0,"",N239/SUM(L239:O239))</f>
        <v/>
      </c>
      <c r="W239" s="7">
        <f>IF(SUM(L239:O239)=0,"",O239/SUM(L239:O239))</f>
        <v/>
      </c>
    </row>
    <row r="240">
      <c r="A240" t="n">
        <v>269</v>
      </c>
      <c r="B240" t="inlineStr">
        <is>
          <t>Adoption Option Inc. - $39,860</t>
        </is>
      </c>
      <c r="C240" t="n">
        <v>0</v>
      </c>
      <c r="D240" t="n">
        <v>1</v>
      </c>
      <c r="E240" t="n">
        <v>0</v>
      </c>
      <c r="F240" t="n">
        <v>0</v>
      </c>
      <c r="G240" t="b">
        <v>0</v>
      </c>
      <c r="H240" t="n">
        <v>0</v>
      </c>
      <c r="I240" t="n">
        <v>0</v>
      </c>
      <c r="J240" t="n">
        <v>0</v>
      </c>
      <c r="K240" t="n">
        <v>0</v>
      </c>
      <c r="L240" t="n">
        <v>1</v>
      </c>
      <c r="M240" t="n">
        <v>0</v>
      </c>
      <c r="N240" t="n">
        <v>0</v>
      </c>
      <c r="O240" t="n">
        <v>2</v>
      </c>
      <c r="P240" s="7">
        <f>IF(SUM(H240:K240)=0,"",H240/SUM(H240:K240))</f>
        <v/>
      </c>
      <c r="Q240" s="7">
        <f>IF(SUM(H240:K240)=0,"",I240/SUM(H240:K240))</f>
        <v/>
      </c>
      <c r="R240" s="7">
        <f>IF(SUM(H240:K240)=0,"",J240/SUM(H240:K240))</f>
        <v/>
      </c>
      <c r="S240" s="7">
        <f>IF(SUM(H240:K240)=0,"",K240/SUM(H240:K240))</f>
        <v/>
      </c>
      <c r="T240" s="7">
        <f>IF(SUM(L240:O240)=0,"",L240/SUM(L240:O240))</f>
        <v/>
      </c>
      <c r="U240" s="7">
        <f>IF(SUM(L240:O240)=0,"",M240/SUM(L240:O240))</f>
        <v/>
      </c>
      <c r="V240" s="7">
        <f>IF(SUM(L240:O240)=0,"",N240/SUM(L240:O240))</f>
        <v/>
      </c>
      <c r="W240" s="7">
        <f>IF(SUM(L240:O240)=0,"",O240/SUM(L240:O240))</f>
        <v/>
      </c>
    </row>
    <row r="241">
      <c r="A241" t="n">
        <v>270</v>
      </c>
      <c r="B241" t="inlineStr">
        <is>
          <t>Parents as Teachers Training</t>
        </is>
      </c>
      <c r="C241" t="n">
        <v>0</v>
      </c>
      <c r="D241" t="n">
        <v>1</v>
      </c>
      <c r="E241" t="n">
        <v>0</v>
      </c>
      <c r="F241" t="n">
        <v>0</v>
      </c>
      <c r="G241" t="b">
        <v>0</v>
      </c>
      <c r="H241" t="n">
        <v>0</v>
      </c>
      <c r="I241" t="n">
        <v>0</v>
      </c>
      <c r="J241" t="n">
        <v>0</v>
      </c>
      <c r="K241" t="n">
        <v>0</v>
      </c>
      <c r="L241" t="n">
        <v>0</v>
      </c>
      <c r="M241" t="n">
        <v>0</v>
      </c>
      <c r="N241" t="n">
        <v>2</v>
      </c>
      <c r="O241" t="n">
        <v>1</v>
      </c>
      <c r="P241" s="7">
        <f>IF(SUM(H241:K241)=0,"",H241/SUM(H241:K241))</f>
        <v/>
      </c>
      <c r="Q241" s="7">
        <f>IF(SUM(H241:K241)=0,"",I241/SUM(H241:K241))</f>
        <v/>
      </c>
      <c r="R241" s="7">
        <f>IF(SUM(H241:K241)=0,"",J241/SUM(H241:K241))</f>
        <v/>
      </c>
      <c r="S241" s="7">
        <f>IF(SUM(H241:K241)=0,"",K241/SUM(H241:K241))</f>
        <v/>
      </c>
      <c r="T241" s="7">
        <f>IF(SUM(L241:O241)=0,"",L241/SUM(L241:O241))</f>
        <v/>
      </c>
      <c r="U241" s="7">
        <f>IF(SUM(L241:O241)=0,"",M241/SUM(L241:O241))</f>
        <v/>
      </c>
      <c r="V241" s="7">
        <f>IF(SUM(L241:O241)=0,"",N241/SUM(L241:O241))</f>
        <v/>
      </c>
      <c r="W241" s="7">
        <f>IF(SUM(L241:O241)=0,"",O241/SUM(L241:O241))</f>
        <v/>
      </c>
    </row>
    <row r="242">
      <c r="A242" t="n">
        <v>271</v>
      </c>
      <c r="B242" t="inlineStr">
        <is>
          <t>Andy's Angels - $100,000</t>
        </is>
      </c>
      <c r="C242" t="n">
        <v>0</v>
      </c>
      <c r="D242" t="n">
        <v>1</v>
      </c>
      <c r="E242" t="n">
        <v>0</v>
      </c>
      <c r="F242" t="n">
        <v>0</v>
      </c>
      <c r="G242" t="b">
        <v>0</v>
      </c>
      <c r="H242" t="n">
        <v>0</v>
      </c>
      <c r="I242" t="n">
        <v>0</v>
      </c>
      <c r="J242" t="n">
        <v>0</v>
      </c>
      <c r="K242" t="n">
        <v>0</v>
      </c>
      <c r="L242" t="n">
        <v>1</v>
      </c>
      <c r="M242" t="n">
        <v>0</v>
      </c>
      <c r="N242" t="n">
        <v>0</v>
      </c>
      <c r="O242" t="n">
        <v>2</v>
      </c>
      <c r="P242" s="7">
        <f>IF(SUM(H242:K242)=0,"",H242/SUM(H242:K242))</f>
        <v/>
      </c>
      <c r="Q242" s="7">
        <f>IF(SUM(H242:K242)=0,"",I242/SUM(H242:K242))</f>
        <v/>
      </c>
      <c r="R242" s="7">
        <f>IF(SUM(H242:K242)=0,"",J242/SUM(H242:K242))</f>
        <v/>
      </c>
      <c r="S242" s="7">
        <f>IF(SUM(H242:K242)=0,"",K242/SUM(H242:K242))</f>
        <v/>
      </c>
      <c r="T242" s="7">
        <f>IF(SUM(L242:O242)=0,"",L242/SUM(L242:O242))</f>
        <v/>
      </c>
      <c r="U242" s="7">
        <f>IF(SUM(L242:O242)=0,"",M242/SUM(L242:O242))</f>
        <v/>
      </c>
      <c r="V242" s="7">
        <f>IF(SUM(L242:O242)=0,"",N242/SUM(L242:O242))</f>
        <v/>
      </c>
      <c r="W242" s="7">
        <f>IF(SUM(L242:O242)=0,"",O242/SUM(L242:O242))</f>
        <v/>
      </c>
    </row>
    <row r="243">
      <c r="A243" t="n">
        <v>272</v>
      </c>
      <c r="B243" t="inlineStr">
        <is>
          <t>Andy's Place Midland</t>
        </is>
      </c>
      <c r="C243" t="n">
        <v>0</v>
      </c>
      <c r="D243" t="n">
        <v>1</v>
      </c>
      <c r="E243" t="n">
        <v>0</v>
      </c>
      <c r="F243" t="n">
        <v>0</v>
      </c>
      <c r="G243" t="b">
        <v>0</v>
      </c>
      <c r="H243" t="n">
        <v>0</v>
      </c>
      <c r="I243" t="n">
        <v>0</v>
      </c>
      <c r="J243" t="n">
        <v>0</v>
      </c>
      <c r="K243" t="n">
        <v>0</v>
      </c>
      <c r="L243" t="n">
        <v>0</v>
      </c>
      <c r="M243" t="n">
        <v>0</v>
      </c>
      <c r="N243" t="n">
        <v>1</v>
      </c>
      <c r="O243" t="n">
        <v>2</v>
      </c>
      <c r="P243" s="7">
        <f>IF(SUM(H243:K243)=0,"",H243/SUM(H243:K243))</f>
        <v/>
      </c>
      <c r="Q243" s="7">
        <f>IF(SUM(H243:K243)=0,"",I243/SUM(H243:K243))</f>
        <v/>
      </c>
      <c r="R243" s="7">
        <f>IF(SUM(H243:K243)=0,"",J243/SUM(H243:K243))</f>
        <v/>
      </c>
      <c r="S243" s="7">
        <f>IF(SUM(H243:K243)=0,"",K243/SUM(H243:K243))</f>
        <v/>
      </c>
      <c r="T243" s="7">
        <f>IF(SUM(L243:O243)=0,"",L243/SUM(L243:O243))</f>
        <v/>
      </c>
      <c r="U243" s="7">
        <f>IF(SUM(L243:O243)=0,"",M243/SUM(L243:O243))</f>
        <v/>
      </c>
      <c r="V243" s="7">
        <f>IF(SUM(L243:O243)=0,"",N243/SUM(L243:O243))</f>
        <v/>
      </c>
      <c r="W243" s="7">
        <f>IF(SUM(L243:O243)=0,"",O243/SUM(L243:O243))</f>
        <v/>
      </c>
    </row>
    <row r="244">
      <c r="A244" t="n">
        <v>273</v>
      </c>
      <c r="B244" t="inlineStr">
        <is>
          <t>ARC of Midland - $3,683</t>
        </is>
      </c>
      <c r="C244" t="n">
        <v>0</v>
      </c>
      <c r="D244" t="n">
        <v>1</v>
      </c>
      <c r="E244" t="n">
        <v>0</v>
      </c>
      <c r="F244" t="n">
        <v>0</v>
      </c>
      <c r="G244" t="b">
        <v>0</v>
      </c>
      <c r="H244" t="n">
        <v>0</v>
      </c>
      <c r="I244" t="n">
        <v>0</v>
      </c>
      <c r="J244" t="n">
        <v>0</v>
      </c>
      <c r="K244" t="n">
        <v>0</v>
      </c>
      <c r="L244" t="n">
        <v>1</v>
      </c>
      <c r="M244" t="n">
        <v>0</v>
      </c>
      <c r="N244" t="n">
        <v>0</v>
      </c>
      <c r="O244" t="n">
        <v>2</v>
      </c>
      <c r="P244" s="7">
        <f>IF(SUM(H244:K244)=0,"",H244/SUM(H244:K244))</f>
        <v/>
      </c>
      <c r="Q244" s="7">
        <f>IF(SUM(H244:K244)=0,"",I244/SUM(H244:K244))</f>
        <v/>
      </c>
      <c r="R244" s="7">
        <f>IF(SUM(H244:K244)=0,"",J244/SUM(H244:K244))</f>
        <v/>
      </c>
      <c r="S244" s="7">
        <f>IF(SUM(H244:K244)=0,"",K244/SUM(H244:K244))</f>
        <v/>
      </c>
      <c r="T244" s="7">
        <f>IF(SUM(L244:O244)=0,"",L244/SUM(L244:O244))</f>
        <v/>
      </c>
      <c r="U244" s="7">
        <f>IF(SUM(L244:O244)=0,"",M244/SUM(L244:O244))</f>
        <v/>
      </c>
      <c r="V244" s="7">
        <f>IF(SUM(L244:O244)=0,"",N244/SUM(L244:O244))</f>
        <v/>
      </c>
      <c r="W244" s="7">
        <f>IF(SUM(L244:O244)=0,"",O244/SUM(L244:O244))</f>
        <v/>
      </c>
    </row>
    <row r="245">
      <c r="A245" t="n">
        <v>274</v>
      </c>
      <c r="B245" t="inlineStr">
        <is>
          <t>IPS Car Seat &amp;amp; EZ Rider Stroller</t>
        </is>
      </c>
      <c r="C245" t="n">
        <v>0</v>
      </c>
      <c r="D245" t="n">
        <v>1</v>
      </c>
      <c r="E245" t="n">
        <v>0</v>
      </c>
      <c r="F245" t="n">
        <v>0</v>
      </c>
      <c r="G245" t="b">
        <v>0</v>
      </c>
      <c r="H245" t="n">
        <v>0</v>
      </c>
      <c r="I245" t="n">
        <v>0</v>
      </c>
      <c r="J245" t="n">
        <v>0</v>
      </c>
      <c r="K245" t="n">
        <v>0</v>
      </c>
      <c r="L245" t="n">
        <v>1</v>
      </c>
      <c r="M245" t="n">
        <v>0</v>
      </c>
      <c r="N245" t="n">
        <v>0</v>
      </c>
      <c r="O245" t="n">
        <v>2</v>
      </c>
      <c r="P245" s="7">
        <f>IF(SUM(H245:K245)=0,"",H245/SUM(H245:K245))</f>
        <v/>
      </c>
      <c r="Q245" s="7">
        <f>IF(SUM(H245:K245)=0,"",I245/SUM(H245:K245))</f>
        <v/>
      </c>
      <c r="R245" s="7">
        <f>IF(SUM(H245:K245)=0,"",J245/SUM(H245:K245))</f>
        <v/>
      </c>
      <c r="S245" s="7">
        <f>IF(SUM(H245:K245)=0,"",K245/SUM(H245:K245))</f>
        <v/>
      </c>
      <c r="T245" s="7">
        <f>IF(SUM(L245:O245)=0,"",L245/SUM(L245:O245))</f>
        <v/>
      </c>
      <c r="U245" s="7">
        <f>IF(SUM(L245:O245)=0,"",M245/SUM(L245:O245))</f>
        <v/>
      </c>
      <c r="V245" s="7">
        <f>IF(SUM(L245:O245)=0,"",N245/SUM(L245:O245))</f>
        <v/>
      </c>
      <c r="W245" s="7">
        <f>IF(SUM(L245:O245)=0,"",O245/SUM(L245:O245))</f>
        <v/>
      </c>
    </row>
    <row r="246">
      <c r="A246" t="n">
        <v>275</v>
      </c>
      <c r="B246" t="inlineStr">
        <is>
          <t>County of Midland - $39,261</t>
        </is>
      </c>
      <c r="C246" t="n">
        <v>1</v>
      </c>
      <c r="D246" t="n">
        <v>1</v>
      </c>
      <c r="E246" t="n">
        <v>0</v>
      </c>
      <c r="F246" t="n">
        <v>0</v>
      </c>
      <c r="G246" t="b">
        <v>1</v>
      </c>
      <c r="H246" t="n">
        <v>0</v>
      </c>
      <c r="I246" t="n">
        <v>0</v>
      </c>
      <c r="J246" t="n">
        <v>2</v>
      </c>
      <c r="K246" t="n">
        <v>0</v>
      </c>
      <c r="L246" t="n">
        <v>0</v>
      </c>
      <c r="M246" t="n">
        <v>0</v>
      </c>
      <c r="N246" t="n">
        <v>2</v>
      </c>
      <c r="O246" t="n">
        <v>1</v>
      </c>
      <c r="P246" s="7">
        <f>IF(SUM(H246:K246)=0,"",H246/SUM(H246:K246))</f>
        <v/>
      </c>
      <c r="Q246" s="7">
        <f>IF(SUM(H246:K246)=0,"",I246/SUM(H246:K246))</f>
        <v/>
      </c>
      <c r="R246" s="7">
        <f>IF(SUM(H246:K246)=0,"",J246/SUM(H246:K246))</f>
        <v/>
      </c>
      <c r="S246" s="7">
        <f>IF(SUM(H246:K246)=0,"",K246/SUM(H246:K246))</f>
        <v/>
      </c>
      <c r="T246" s="7">
        <f>IF(SUM(L246:O246)=0,"",L246/SUM(L246:O246))</f>
        <v/>
      </c>
      <c r="U246" s="7">
        <f>IF(SUM(L246:O246)=0,"",M246/SUM(L246:O246))</f>
        <v/>
      </c>
      <c r="V246" s="7">
        <f>IF(SUM(L246:O246)=0,"",N246/SUM(L246:O246))</f>
        <v/>
      </c>
      <c r="W246" s="7">
        <f>IF(SUM(L246:O246)=0,"",O246/SUM(L246:O246))</f>
        <v/>
      </c>
    </row>
    <row r="247">
      <c r="A247" t="n">
        <v>276</v>
      </c>
      <c r="B247" t="inlineStr">
        <is>
          <t>Mental Health Court Support</t>
        </is>
      </c>
      <c r="C247" t="n">
        <v>0</v>
      </c>
      <c r="D247" t="n">
        <v>1</v>
      </c>
      <c r="E247" t="n">
        <v>0</v>
      </c>
      <c r="F247" t="n">
        <v>0</v>
      </c>
      <c r="G247" t="b">
        <v>0</v>
      </c>
      <c r="H247" t="n">
        <v>0</v>
      </c>
      <c r="I247" t="n">
        <v>0</v>
      </c>
      <c r="J247" t="n">
        <v>0</v>
      </c>
      <c r="K247" t="n">
        <v>0</v>
      </c>
      <c r="L247" t="n">
        <v>0</v>
      </c>
      <c r="M247" t="n">
        <v>0</v>
      </c>
      <c r="N247" t="n">
        <v>2</v>
      </c>
      <c r="O247" t="n">
        <v>1</v>
      </c>
      <c r="P247" s="7">
        <f>IF(SUM(H247:K247)=0,"",H247/SUM(H247:K247))</f>
        <v/>
      </c>
      <c r="Q247" s="7">
        <f>IF(SUM(H247:K247)=0,"",I247/SUM(H247:K247))</f>
        <v/>
      </c>
      <c r="R247" s="7">
        <f>IF(SUM(H247:K247)=0,"",J247/SUM(H247:K247))</f>
        <v/>
      </c>
      <c r="S247" s="7">
        <f>IF(SUM(H247:K247)=0,"",K247/SUM(H247:K247))</f>
        <v/>
      </c>
      <c r="T247" s="7">
        <f>IF(SUM(L247:O247)=0,"",L247/SUM(L247:O247))</f>
        <v/>
      </c>
      <c r="U247" s="7">
        <f>IF(SUM(L247:O247)=0,"",M247/SUM(L247:O247))</f>
        <v/>
      </c>
      <c r="V247" s="7">
        <f>IF(SUM(L247:O247)=0,"",N247/SUM(L247:O247))</f>
        <v/>
      </c>
      <c r="W247" s="7">
        <f>IF(SUM(L247:O247)=0,"",O247/SUM(L247:O247))</f>
        <v/>
      </c>
    </row>
    <row r="248">
      <c r="A248" t="n">
        <v>277</v>
      </c>
      <c r="B248" t="inlineStr">
        <is>
          <t>Great Lakes Bay Foundation - $50,000*</t>
        </is>
      </c>
      <c r="C248" t="n">
        <v>1</v>
      </c>
      <c r="D248" t="n">
        <v>1</v>
      </c>
      <c r="E248" t="n">
        <v>0</v>
      </c>
      <c r="F248" t="n">
        <v>0</v>
      </c>
      <c r="G248" t="b">
        <v>1</v>
      </c>
      <c r="H248" t="n">
        <v>0</v>
      </c>
      <c r="I248" t="n">
        <v>0</v>
      </c>
      <c r="J248" t="n">
        <v>2</v>
      </c>
      <c r="K248" t="n">
        <v>0</v>
      </c>
      <c r="L248" t="n">
        <v>0</v>
      </c>
      <c r="M248" t="n">
        <v>0</v>
      </c>
      <c r="N248" t="n">
        <v>1</v>
      </c>
      <c r="O248" t="n">
        <v>2</v>
      </c>
      <c r="P248" s="7">
        <f>IF(SUM(H248:K248)=0,"",H248/SUM(H248:K248))</f>
        <v/>
      </c>
      <c r="Q248" s="7">
        <f>IF(SUM(H248:K248)=0,"",I248/SUM(H248:K248))</f>
        <v/>
      </c>
      <c r="R248" s="7">
        <f>IF(SUM(H248:K248)=0,"",J248/SUM(H248:K248))</f>
        <v/>
      </c>
      <c r="S248" s="7">
        <f>IF(SUM(H248:K248)=0,"",K248/SUM(H248:K248))</f>
        <v/>
      </c>
      <c r="T248" s="7">
        <f>IF(SUM(L248:O248)=0,"",L248/SUM(L248:O248))</f>
        <v/>
      </c>
      <c r="U248" s="7">
        <f>IF(SUM(L248:O248)=0,"",M248/SUM(L248:O248))</f>
        <v/>
      </c>
      <c r="V248" s="7">
        <f>IF(SUM(L248:O248)=0,"",N248/SUM(L248:O248))</f>
        <v/>
      </c>
      <c r="W248" s="7">
        <f>IF(SUM(L248:O248)=0,"",O248/SUM(L248:O248))</f>
        <v/>
      </c>
    </row>
    <row r="249">
      <c r="A249" t="n">
        <v>278</v>
      </c>
      <c r="B249" t="inlineStr">
        <is>
          <t>Advancing the iMatter Anti-Stigma Campaign</t>
        </is>
      </c>
      <c r="C249" t="n">
        <v>0</v>
      </c>
      <c r="D249" t="n">
        <v>1</v>
      </c>
      <c r="E249" t="n">
        <v>0</v>
      </c>
      <c r="F249" t="n">
        <v>0</v>
      </c>
      <c r="G249" t="b">
        <v>0</v>
      </c>
      <c r="H249" t="n">
        <v>0</v>
      </c>
      <c r="I249" t="n">
        <v>0</v>
      </c>
      <c r="J249" t="n">
        <v>0</v>
      </c>
      <c r="K249" t="n">
        <v>0</v>
      </c>
      <c r="L249" t="n">
        <v>0</v>
      </c>
      <c r="M249" t="n">
        <v>0</v>
      </c>
      <c r="N249" t="n">
        <v>1</v>
      </c>
      <c r="O249" t="n">
        <v>2</v>
      </c>
      <c r="P249" s="7">
        <f>IF(SUM(H249:K249)=0,"",H249/SUM(H249:K249))</f>
        <v/>
      </c>
      <c r="Q249" s="7">
        <f>IF(SUM(H249:K249)=0,"",I249/SUM(H249:K249))</f>
        <v/>
      </c>
      <c r="R249" s="7">
        <f>IF(SUM(H249:K249)=0,"",J249/SUM(H249:K249))</f>
        <v/>
      </c>
      <c r="S249" s="7">
        <f>IF(SUM(H249:K249)=0,"",K249/SUM(H249:K249))</f>
        <v/>
      </c>
      <c r="T249" s="7">
        <f>IF(SUM(L249:O249)=0,"",L249/SUM(L249:O249))</f>
        <v/>
      </c>
      <c r="U249" s="7">
        <f>IF(SUM(L249:O249)=0,"",M249/SUM(L249:O249))</f>
        <v/>
      </c>
      <c r="V249" s="7">
        <f>IF(SUM(L249:O249)=0,"",N249/SUM(L249:O249))</f>
        <v/>
      </c>
      <c r="W249" s="7">
        <f>IF(SUM(L249:O249)=0,"",O249/SUM(L249:O249))</f>
        <v/>
      </c>
    </row>
    <row r="250">
      <c r="A250" t="n">
        <v>279</v>
      </c>
      <c r="B250" t="inlineStr">
        <is>
          <t>Home to Stay - $80,000*</t>
        </is>
      </c>
      <c r="C250" t="n">
        <v>0</v>
      </c>
      <c r="D250" t="n">
        <v>1</v>
      </c>
      <c r="E250" t="n">
        <v>0</v>
      </c>
      <c r="F250" t="n">
        <v>0</v>
      </c>
      <c r="G250" t="b">
        <v>0</v>
      </c>
      <c r="H250" t="n">
        <v>0</v>
      </c>
      <c r="I250" t="n">
        <v>0</v>
      </c>
      <c r="J250" t="n">
        <v>0</v>
      </c>
      <c r="K250" t="n">
        <v>0</v>
      </c>
      <c r="L250" t="n">
        <v>1</v>
      </c>
      <c r="M250" t="n">
        <v>0</v>
      </c>
      <c r="N250" t="n">
        <v>0</v>
      </c>
      <c r="O250" t="n">
        <v>2</v>
      </c>
      <c r="P250" s="7">
        <f>IF(SUM(H250:K250)=0,"",H250/SUM(H250:K250))</f>
        <v/>
      </c>
      <c r="Q250" s="7">
        <f>IF(SUM(H250:K250)=0,"",I250/SUM(H250:K250))</f>
        <v/>
      </c>
      <c r="R250" s="7">
        <f>IF(SUM(H250:K250)=0,"",J250/SUM(H250:K250))</f>
        <v/>
      </c>
      <c r="S250" s="7">
        <f>IF(SUM(H250:K250)=0,"",K250/SUM(H250:K250))</f>
        <v/>
      </c>
      <c r="T250" s="7">
        <f>IF(SUM(L250:O250)=0,"",L250/SUM(L250:O250))</f>
        <v/>
      </c>
      <c r="U250" s="7">
        <f>IF(SUM(L250:O250)=0,"",M250/SUM(L250:O250))</f>
        <v/>
      </c>
      <c r="V250" s="7">
        <f>IF(SUM(L250:O250)=0,"",N250/SUM(L250:O250))</f>
        <v/>
      </c>
      <c r="W250" s="7">
        <f>IF(SUM(L250:O250)=0,"",O250/SUM(L250:O250))</f>
        <v/>
      </c>
    </row>
    <row r="251">
      <c r="A251" t="n">
        <v>280</v>
      </c>
      <c r="B251" t="inlineStr">
        <is>
          <t>Housing Stability Support</t>
        </is>
      </c>
      <c r="C251" t="n">
        <v>0</v>
      </c>
      <c r="D251" t="n">
        <v>1</v>
      </c>
      <c r="E251" t="n">
        <v>0</v>
      </c>
      <c r="F251" t="n">
        <v>0</v>
      </c>
      <c r="G251" t="b">
        <v>0</v>
      </c>
      <c r="H251" t="n">
        <v>0</v>
      </c>
      <c r="I251" t="n">
        <v>0</v>
      </c>
      <c r="J251" t="n">
        <v>0</v>
      </c>
      <c r="K251" t="n">
        <v>0</v>
      </c>
      <c r="L251" t="n">
        <v>1</v>
      </c>
      <c r="M251" t="n">
        <v>0</v>
      </c>
      <c r="N251" t="n">
        <v>0</v>
      </c>
      <c r="O251" t="n">
        <v>2</v>
      </c>
      <c r="P251" s="7">
        <f>IF(SUM(H251:K251)=0,"",H251/SUM(H251:K251))</f>
        <v/>
      </c>
      <c r="Q251" s="7">
        <f>IF(SUM(H251:K251)=0,"",I251/SUM(H251:K251))</f>
        <v/>
      </c>
      <c r="R251" s="7">
        <f>IF(SUM(H251:K251)=0,"",J251/SUM(H251:K251))</f>
        <v/>
      </c>
      <c r="S251" s="7">
        <f>IF(SUM(H251:K251)=0,"",K251/SUM(H251:K251))</f>
        <v/>
      </c>
      <c r="T251" s="7">
        <f>IF(SUM(L251:O251)=0,"",L251/SUM(L251:O251))</f>
        <v/>
      </c>
      <c r="U251" s="7">
        <f>IF(SUM(L251:O251)=0,"",M251/SUM(L251:O251))</f>
        <v/>
      </c>
      <c r="V251" s="7">
        <f>IF(SUM(L251:O251)=0,"",N251/SUM(L251:O251))</f>
        <v/>
      </c>
      <c r="W251" s="7">
        <f>IF(SUM(L251:O251)=0,"",O251/SUM(L251:O251))</f>
        <v/>
      </c>
    </row>
    <row r="252">
      <c r="A252" t="n">
        <v>281</v>
      </c>
      <c r="B252" t="inlineStr">
        <is>
          <t>King's Daughters &amp;amp; Sons of Midland, Inc. - $10,000 Community Christmas Closet</t>
        </is>
      </c>
      <c r="C252" t="n">
        <v>0</v>
      </c>
      <c r="D252" t="n">
        <v>1</v>
      </c>
      <c r="E252" t="n">
        <v>0</v>
      </c>
      <c r="F252" t="n">
        <v>0</v>
      </c>
      <c r="G252" t="b">
        <v>0</v>
      </c>
      <c r="H252" t="n">
        <v>0</v>
      </c>
      <c r="I252" t="n">
        <v>0</v>
      </c>
      <c r="J252" t="n">
        <v>0</v>
      </c>
      <c r="K252" t="n">
        <v>0</v>
      </c>
      <c r="L252" t="n">
        <v>2</v>
      </c>
      <c r="M252" t="n">
        <v>0</v>
      </c>
      <c r="N252" t="n">
        <v>0</v>
      </c>
      <c r="O252" t="n">
        <v>1</v>
      </c>
      <c r="P252" s="7">
        <f>IF(SUM(H252:K252)=0,"",H252/SUM(H252:K252))</f>
        <v/>
      </c>
      <c r="Q252" s="7">
        <f>IF(SUM(H252:K252)=0,"",I252/SUM(H252:K252))</f>
        <v/>
      </c>
      <c r="R252" s="7">
        <f>IF(SUM(H252:K252)=0,"",J252/SUM(H252:K252))</f>
        <v/>
      </c>
      <c r="S252" s="7">
        <f>IF(SUM(H252:K252)=0,"",K252/SUM(H252:K252))</f>
        <v/>
      </c>
      <c r="T252" s="7">
        <f>IF(SUM(L252:O252)=0,"",L252/SUM(L252:O252))</f>
        <v/>
      </c>
      <c r="U252" s="7">
        <f>IF(SUM(L252:O252)=0,"",M252/SUM(L252:O252))</f>
        <v/>
      </c>
      <c r="V252" s="7">
        <f>IF(SUM(L252:O252)=0,"",N252/SUM(L252:O252))</f>
        <v/>
      </c>
      <c r="W252" s="7">
        <f>IF(SUM(L252:O252)=0,"",O252/SUM(L252:O252))</f>
        <v/>
      </c>
    </row>
    <row r="253">
      <c r="A253" t="n">
        <v>282</v>
      </c>
      <c r="B253" t="inlineStr">
        <is>
          <t>Messiah Lutheran Church of Bullock Creek - $125,000*</t>
        </is>
      </c>
      <c r="C253" t="n">
        <v>0</v>
      </c>
      <c r="D253" t="n">
        <v>1</v>
      </c>
      <c r="E253" t="n">
        <v>0</v>
      </c>
      <c r="F253" t="n">
        <v>0</v>
      </c>
      <c r="G253" t="b">
        <v>0</v>
      </c>
      <c r="H253" t="n">
        <v>0</v>
      </c>
      <c r="I253" t="n">
        <v>0</v>
      </c>
      <c r="J253" t="n">
        <v>0</v>
      </c>
      <c r="K253" t="n">
        <v>0</v>
      </c>
      <c r="L253" t="n">
        <v>1</v>
      </c>
      <c r="M253" t="n">
        <v>0</v>
      </c>
      <c r="N253" t="n">
        <v>0</v>
      </c>
      <c r="O253" t="n">
        <v>2</v>
      </c>
      <c r="P253" s="7">
        <f>IF(SUM(H253:K253)=0,"",H253/SUM(H253:K253))</f>
        <v/>
      </c>
      <c r="Q253" s="7">
        <f>IF(SUM(H253:K253)=0,"",I253/SUM(H253:K253))</f>
        <v/>
      </c>
      <c r="R253" s="7">
        <f>IF(SUM(H253:K253)=0,"",J253/SUM(H253:K253))</f>
        <v/>
      </c>
      <c r="S253" s="7">
        <f>IF(SUM(H253:K253)=0,"",K253/SUM(H253:K253))</f>
        <v/>
      </c>
      <c r="T253" s="7">
        <f>IF(SUM(L253:O253)=0,"",L253/SUM(L253:O253))</f>
        <v/>
      </c>
      <c r="U253" s="7">
        <f>IF(SUM(L253:O253)=0,"",M253/SUM(L253:O253))</f>
        <v/>
      </c>
      <c r="V253" s="7">
        <f>IF(SUM(L253:O253)=0,"",N253/SUM(L253:O253))</f>
        <v/>
      </c>
      <c r="W253" s="7">
        <f>IF(SUM(L253:O253)=0,"",O253/SUM(L253:O253))</f>
        <v/>
      </c>
    </row>
    <row r="254">
      <c r="A254" t="n">
        <v>283</v>
      </c>
      <c r="B254" t="inlineStr">
        <is>
          <t>The Bridge Food Center Expansion Project</t>
        </is>
      </c>
      <c r="C254" t="n">
        <v>0</v>
      </c>
      <c r="D254" t="n">
        <v>1</v>
      </c>
      <c r="E254" t="n">
        <v>0</v>
      </c>
      <c r="F254" t="n">
        <v>0</v>
      </c>
      <c r="G254" t="b">
        <v>0</v>
      </c>
      <c r="H254" t="n">
        <v>0</v>
      </c>
      <c r="I254" t="n">
        <v>0</v>
      </c>
      <c r="J254" t="n">
        <v>0</v>
      </c>
      <c r="K254" t="n">
        <v>0</v>
      </c>
      <c r="L254" t="n">
        <v>1</v>
      </c>
      <c r="M254" t="n">
        <v>0</v>
      </c>
      <c r="N254" t="n">
        <v>0</v>
      </c>
      <c r="O254" t="n">
        <v>2</v>
      </c>
      <c r="P254" s="7">
        <f>IF(SUM(H254:K254)=0,"",H254/SUM(H254:K254))</f>
        <v/>
      </c>
      <c r="Q254" s="7">
        <f>IF(SUM(H254:K254)=0,"",I254/SUM(H254:K254))</f>
        <v/>
      </c>
      <c r="R254" s="7">
        <f>IF(SUM(H254:K254)=0,"",J254/SUM(H254:K254))</f>
        <v/>
      </c>
      <c r="S254" s="7">
        <f>IF(SUM(H254:K254)=0,"",K254/SUM(H254:K254))</f>
        <v/>
      </c>
      <c r="T254" s="7">
        <f>IF(SUM(L254:O254)=0,"",L254/SUM(L254:O254))</f>
        <v/>
      </c>
      <c r="U254" s="7">
        <f>IF(SUM(L254:O254)=0,"",M254/SUM(L254:O254))</f>
        <v/>
      </c>
      <c r="V254" s="7">
        <f>IF(SUM(L254:O254)=0,"",N254/SUM(L254:O254))</f>
        <v/>
      </c>
      <c r="W254" s="7">
        <f>IF(SUM(L254:O254)=0,"",O254/SUM(L254:O254))</f>
        <v/>
      </c>
    </row>
    <row r="255">
      <c r="A255" t="n">
        <v>284</v>
      </c>
      <c r="B255" t="inlineStr">
        <is>
          <t>Messiah Lutheran Church of Bullock Creek - $40,000</t>
        </is>
      </c>
      <c r="C255" t="n">
        <v>0</v>
      </c>
      <c r="D255" t="n">
        <v>1</v>
      </c>
      <c r="E255" t="n">
        <v>0</v>
      </c>
      <c r="F255" t="n">
        <v>0</v>
      </c>
      <c r="G255" t="b">
        <v>0</v>
      </c>
      <c r="H255" t="n">
        <v>0</v>
      </c>
      <c r="I255" t="n">
        <v>0</v>
      </c>
      <c r="J255" t="n">
        <v>0</v>
      </c>
      <c r="K255" t="n">
        <v>0</v>
      </c>
      <c r="L255" t="n">
        <v>1</v>
      </c>
      <c r="M255" t="n">
        <v>0</v>
      </c>
      <c r="N255" t="n">
        <v>0</v>
      </c>
      <c r="O255" t="n">
        <v>2</v>
      </c>
      <c r="P255" s="7">
        <f>IF(SUM(H255:K255)=0,"",H255/SUM(H255:K255))</f>
        <v/>
      </c>
      <c r="Q255" s="7">
        <f>IF(SUM(H255:K255)=0,"",I255/SUM(H255:K255))</f>
        <v/>
      </c>
      <c r="R255" s="7">
        <f>IF(SUM(H255:K255)=0,"",J255/SUM(H255:K255))</f>
        <v/>
      </c>
      <c r="S255" s="7">
        <f>IF(SUM(H255:K255)=0,"",K255/SUM(H255:K255))</f>
        <v/>
      </c>
      <c r="T255" s="7">
        <f>IF(SUM(L255:O255)=0,"",L255/SUM(L255:O255))</f>
        <v/>
      </c>
      <c r="U255" s="7">
        <f>IF(SUM(L255:O255)=0,"",M255/SUM(L255:O255))</f>
        <v/>
      </c>
      <c r="V255" s="7">
        <f>IF(SUM(L255:O255)=0,"",N255/SUM(L255:O255))</f>
        <v/>
      </c>
      <c r="W255" s="7">
        <f>IF(SUM(L255:O255)=0,"",O255/SUM(L255:O255))</f>
        <v/>
      </c>
    </row>
    <row r="256">
      <c r="A256" t="n">
        <v>285</v>
      </c>
      <c r="B256" t="inlineStr">
        <is>
          <t>The Bridge Food Center Expansion Project</t>
        </is>
      </c>
      <c r="C256" t="n">
        <v>0</v>
      </c>
      <c r="D256" t="n">
        <v>1</v>
      </c>
      <c r="E256" t="n">
        <v>0</v>
      </c>
      <c r="F256" t="n">
        <v>0</v>
      </c>
      <c r="G256" t="b">
        <v>0</v>
      </c>
      <c r="H256" t="n">
        <v>0</v>
      </c>
      <c r="I256" t="n">
        <v>0</v>
      </c>
      <c r="J256" t="n">
        <v>0</v>
      </c>
      <c r="K256" t="n">
        <v>0</v>
      </c>
      <c r="L256" t="n">
        <v>1</v>
      </c>
      <c r="M256" t="n">
        <v>0</v>
      </c>
      <c r="N256" t="n">
        <v>0</v>
      </c>
      <c r="O256" t="n">
        <v>2</v>
      </c>
      <c r="P256" s="7">
        <f>IF(SUM(H256:K256)=0,"",H256/SUM(H256:K256))</f>
        <v/>
      </c>
      <c r="Q256" s="7">
        <f>IF(SUM(H256:K256)=0,"",I256/SUM(H256:K256))</f>
        <v/>
      </c>
      <c r="R256" s="7">
        <f>IF(SUM(H256:K256)=0,"",J256/SUM(H256:K256))</f>
        <v/>
      </c>
      <c r="S256" s="7">
        <f>IF(SUM(H256:K256)=0,"",K256/SUM(H256:K256))</f>
        <v/>
      </c>
      <c r="T256" s="7">
        <f>IF(SUM(L256:O256)=0,"",L256/SUM(L256:O256))</f>
        <v/>
      </c>
      <c r="U256" s="7">
        <f>IF(SUM(L256:O256)=0,"",M256/SUM(L256:O256))</f>
        <v/>
      </c>
      <c r="V256" s="7">
        <f>IF(SUM(L256:O256)=0,"",N256/SUM(L256:O256))</f>
        <v/>
      </c>
      <c r="W256" s="7">
        <f>IF(SUM(L256:O256)=0,"",O256/SUM(L256:O256))</f>
        <v/>
      </c>
    </row>
    <row r="257">
      <c r="A257" t="n">
        <v>286</v>
      </c>
      <c r="B257" t="inlineStr">
        <is>
          <t>Midland Community Cancer Society - $40,000</t>
        </is>
      </c>
      <c r="C257" t="n">
        <v>0</v>
      </c>
      <c r="D257" t="n">
        <v>1</v>
      </c>
      <c r="E257" t="n">
        <v>0</v>
      </c>
      <c r="F257" t="n">
        <v>0</v>
      </c>
      <c r="G257" t="b">
        <v>0</v>
      </c>
      <c r="H257" t="n">
        <v>0</v>
      </c>
      <c r="I257" t="n">
        <v>0</v>
      </c>
      <c r="J257" t="n">
        <v>0</v>
      </c>
      <c r="K257" t="n">
        <v>0</v>
      </c>
      <c r="L257" t="n">
        <v>2</v>
      </c>
      <c r="M257" t="n">
        <v>0</v>
      </c>
      <c r="N257" t="n">
        <v>0</v>
      </c>
      <c r="O257" t="n">
        <v>1</v>
      </c>
      <c r="P257" s="7">
        <f>IF(SUM(H257:K257)=0,"",H257/SUM(H257:K257))</f>
        <v/>
      </c>
      <c r="Q257" s="7">
        <f>IF(SUM(H257:K257)=0,"",I257/SUM(H257:K257))</f>
        <v/>
      </c>
      <c r="R257" s="7">
        <f>IF(SUM(H257:K257)=0,"",J257/SUM(H257:K257))</f>
        <v/>
      </c>
      <c r="S257" s="7">
        <f>IF(SUM(H257:K257)=0,"",K257/SUM(H257:K257))</f>
        <v/>
      </c>
      <c r="T257" s="7">
        <f>IF(SUM(L257:O257)=0,"",L257/SUM(L257:O257))</f>
        <v/>
      </c>
      <c r="U257" s="7">
        <f>IF(SUM(L257:O257)=0,"",M257/SUM(L257:O257))</f>
        <v/>
      </c>
      <c r="V257" s="7">
        <f>IF(SUM(L257:O257)=0,"",N257/SUM(L257:O257))</f>
        <v/>
      </c>
      <c r="W257" s="7">
        <f>IF(SUM(L257:O257)=0,"",O257/SUM(L257:O257))</f>
        <v/>
      </c>
    </row>
    <row r="258">
      <c r="A258" t="n">
        <v>287</v>
      </c>
      <c r="B258" t="inlineStr">
        <is>
          <t>Respite Relief for the Weary</t>
        </is>
      </c>
      <c r="C258" t="n">
        <v>0</v>
      </c>
      <c r="D258" t="n">
        <v>1</v>
      </c>
      <c r="E258" t="n">
        <v>0</v>
      </c>
      <c r="F258" t="n">
        <v>0</v>
      </c>
      <c r="G258" t="b">
        <v>0</v>
      </c>
      <c r="H258" t="n">
        <v>0</v>
      </c>
      <c r="I258" t="n">
        <v>0</v>
      </c>
      <c r="J258" t="n">
        <v>0</v>
      </c>
      <c r="K258" t="n">
        <v>0</v>
      </c>
      <c r="L258" t="n">
        <v>1</v>
      </c>
      <c r="M258" t="n">
        <v>0</v>
      </c>
      <c r="N258" t="n">
        <v>0</v>
      </c>
      <c r="O258" t="n">
        <v>2</v>
      </c>
      <c r="P258" s="7">
        <f>IF(SUM(H258:K258)=0,"",H258/SUM(H258:K258))</f>
        <v/>
      </c>
      <c r="Q258" s="7">
        <f>IF(SUM(H258:K258)=0,"",I258/SUM(H258:K258))</f>
        <v/>
      </c>
      <c r="R258" s="7">
        <f>IF(SUM(H258:K258)=0,"",J258/SUM(H258:K258))</f>
        <v/>
      </c>
      <c r="S258" s="7">
        <f>IF(SUM(H258:K258)=0,"",K258/SUM(H258:K258))</f>
        <v/>
      </c>
      <c r="T258" s="7">
        <f>IF(SUM(L258:O258)=0,"",L258/SUM(L258:O258))</f>
        <v/>
      </c>
      <c r="U258" s="7">
        <f>IF(SUM(L258:O258)=0,"",M258/SUM(L258:O258))</f>
        <v/>
      </c>
      <c r="V258" s="7">
        <f>IF(SUM(L258:O258)=0,"",N258/SUM(L258:O258))</f>
        <v/>
      </c>
      <c r="W258" s="7">
        <f>IF(SUM(L258:O258)=0,"",O258/SUM(L258:O258))</f>
        <v/>
      </c>
    </row>
    <row r="259">
      <c r="A259" t="n">
        <v>288</v>
      </c>
      <c r="B259" t="inlineStr">
        <is>
          <t>Midland Community Former Offenders Advocacy &amp;amp; Rehabilitation - $11,000 Move-In &amp;amp; Emergency Rent for Men &amp;amp; Women's Sober Housing/</t>
        </is>
      </c>
      <c r="C259" t="n">
        <v>0</v>
      </c>
      <c r="D259" t="n">
        <v>1</v>
      </c>
      <c r="E259" t="n">
        <v>0</v>
      </c>
      <c r="F259" t="n">
        <v>0</v>
      </c>
      <c r="G259" t="b">
        <v>0</v>
      </c>
      <c r="H259" t="n">
        <v>0</v>
      </c>
      <c r="I259" t="n">
        <v>0</v>
      </c>
      <c r="J259" t="n">
        <v>0</v>
      </c>
      <c r="K259" t="n">
        <v>0</v>
      </c>
      <c r="L259" t="n">
        <v>1</v>
      </c>
      <c r="M259" t="n">
        <v>0</v>
      </c>
      <c r="N259" t="n">
        <v>0</v>
      </c>
      <c r="O259" t="n">
        <v>2</v>
      </c>
      <c r="P259" s="7">
        <f>IF(SUM(H259:K259)=0,"",H259/SUM(H259:K259))</f>
        <v/>
      </c>
      <c r="Q259" s="7">
        <f>IF(SUM(H259:K259)=0,"",I259/SUM(H259:K259))</f>
        <v/>
      </c>
      <c r="R259" s="7">
        <f>IF(SUM(H259:K259)=0,"",J259/SUM(H259:K259))</f>
        <v/>
      </c>
      <c r="S259" s="7">
        <f>IF(SUM(H259:K259)=0,"",K259/SUM(H259:K259))</f>
        <v/>
      </c>
      <c r="T259" s="7">
        <f>IF(SUM(L259:O259)=0,"",L259/SUM(L259:O259))</f>
        <v/>
      </c>
      <c r="U259" s="7">
        <f>IF(SUM(L259:O259)=0,"",M259/SUM(L259:O259))</f>
        <v/>
      </c>
      <c r="V259" s="7">
        <f>IF(SUM(L259:O259)=0,"",N259/SUM(L259:O259))</f>
        <v/>
      </c>
      <c r="W259" s="7">
        <f>IF(SUM(L259:O259)=0,"",O259/SUM(L259:O259))</f>
        <v/>
      </c>
    </row>
    <row r="260">
      <c r="A260" t="n">
        <v>289</v>
      </c>
      <c r="B260" t="inlineStr">
        <is>
          <t>Impact Weekend Assistance</t>
        </is>
      </c>
      <c r="C260" t="n">
        <v>0</v>
      </c>
      <c r="D260" t="n">
        <v>1</v>
      </c>
      <c r="E260" t="n">
        <v>0</v>
      </c>
      <c r="F260" t="n">
        <v>0</v>
      </c>
      <c r="G260" t="b">
        <v>0</v>
      </c>
      <c r="H260" t="n">
        <v>0</v>
      </c>
      <c r="I260" t="n">
        <v>0</v>
      </c>
      <c r="J260" t="n">
        <v>0</v>
      </c>
      <c r="K260" t="n">
        <v>0</v>
      </c>
      <c r="L260" t="n">
        <v>1</v>
      </c>
      <c r="M260" t="n">
        <v>0</v>
      </c>
      <c r="N260" t="n">
        <v>0</v>
      </c>
      <c r="O260" t="n">
        <v>2</v>
      </c>
      <c r="P260" s="7">
        <f>IF(SUM(H260:K260)=0,"",H260/SUM(H260:K260))</f>
        <v/>
      </c>
      <c r="Q260" s="7">
        <f>IF(SUM(H260:K260)=0,"",I260/SUM(H260:K260))</f>
        <v/>
      </c>
      <c r="R260" s="7">
        <f>IF(SUM(H260:K260)=0,"",J260/SUM(H260:K260))</f>
        <v/>
      </c>
      <c r="S260" s="7">
        <f>IF(SUM(H260:K260)=0,"",K260/SUM(H260:K260))</f>
        <v/>
      </c>
      <c r="T260" s="7">
        <f>IF(SUM(L260:O260)=0,"",L260/SUM(L260:O260))</f>
        <v/>
      </c>
      <c r="U260" s="7">
        <f>IF(SUM(L260:O260)=0,"",M260/SUM(L260:O260))</f>
        <v/>
      </c>
      <c r="V260" s="7">
        <f>IF(SUM(L260:O260)=0,"",N260/SUM(L260:O260))</f>
        <v/>
      </c>
      <c r="W260" s="7">
        <f>IF(SUM(L260:O260)=0,"",O260/SUM(L260:O260))</f>
        <v/>
      </c>
    </row>
    <row r="261">
      <c r="A261" t="n">
        <v>290</v>
      </c>
      <c r="B261" t="inlineStr">
        <is>
          <t>Midland County Child Protection Council - $40,000</t>
        </is>
      </c>
      <c r="C261" t="n">
        <v>1</v>
      </c>
      <c r="D261" t="n">
        <v>1</v>
      </c>
      <c r="E261" t="n">
        <v>0</v>
      </c>
      <c r="F261" t="n">
        <v>0</v>
      </c>
      <c r="G261" t="b">
        <v>1</v>
      </c>
      <c r="H261" t="n">
        <v>0</v>
      </c>
      <c r="I261" t="n">
        <v>0</v>
      </c>
      <c r="J261" t="n">
        <v>2</v>
      </c>
      <c r="K261" t="n">
        <v>0</v>
      </c>
      <c r="L261" t="n">
        <v>1</v>
      </c>
      <c r="M261" t="n">
        <v>0</v>
      </c>
      <c r="N261" t="n">
        <v>0</v>
      </c>
      <c r="O261" t="n">
        <v>2</v>
      </c>
      <c r="P261" s="7">
        <f>IF(SUM(H261:K261)=0,"",H261/SUM(H261:K261))</f>
        <v/>
      </c>
      <c r="Q261" s="7">
        <f>IF(SUM(H261:K261)=0,"",I261/SUM(H261:K261))</f>
        <v/>
      </c>
      <c r="R261" s="7">
        <f>IF(SUM(H261:K261)=0,"",J261/SUM(H261:K261))</f>
        <v/>
      </c>
      <c r="S261" s="7">
        <f>IF(SUM(H261:K261)=0,"",K261/SUM(H261:K261))</f>
        <v/>
      </c>
      <c r="T261" s="7">
        <f>IF(SUM(L261:O261)=0,"",L261/SUM(L261:O261))</f>
        <v/>
      </c>
      <c r="U261" s="7">
        <f>IF(SUM(L261:O261)=0,"",M261/SUM(L261:O261))</f>
        <v/>
      </c>
      <c r="V261" s="7">
        <f>IF(SUM(L261:O261)=0,"",N261/SUM(L261:O261))</f>
        <v/>
      </c>
      <c r="W261" s="7">
        <f>IF(SUM(L261:O261)=0,"",O261/SUM(L261:O261))</f>
        <v/>
      </c>
    </row>
    <row r="262">
      <c r="A262" t="n">
        <v>291</v>
      </c>
      <c r="B262" t="inlineStr">
        <is>
          <t>Counseling Program</t>
        </is>
      </c>
      <c r="C262" t="n">
        <v>0</v>
      </c>
      <c r="D262" t="n">
        <v>1</v>
      </c>
      <c r="E262" t="n">
        <v>0</v>
      </c>
      <c r="F262" t="n">
        <v>0</v>
      </c>
      <c r="G262" t="b">
        <v>0</v>
      </c>
      <c r="H262" t="n">
        <v>0</v>
      </c>
      <c r="I262" t="n">
        <v>0</v>
      </c>
      <c r="J262" t="n">
        <v>0</v>
      </c>
      <c r="K262" t="n">
        <v>0</v>
      </c>
      <c r="L262" t="n">
        <v>1</v>
      </c>
      <c r="M262" t="n">
        <v>0</v>
      </c>
      <c r="N262" t="n">
        <v>0</v>
      </c>
      <c r="O262" t="n">
        <v>2</v>
      </c>
      <c r="P262" s="7">
        <f>IF(SUM(H262:K262)=0,"",H262/SUM(H262:K262))</f>
        <v/>
      </c>
      <c r="Q262" s="7">
        <f>IF(SUM(H262:K262)=0,"",I262/SUM(H262:K262))</f>
        <v/>
      </c>
      <c r="R262" s="7">
        <f>IF(SUM(H262:K262)=0,"",J262/SUM(H262:K262))</f>
        <v/>
      </c>
      <c r="S262" s="7">
        <f>IF(SUM(H262:K262)=0,"",K262/SUM(H262:K262))</f>
        <v/>
      </c>
      <c r="T262" s="7">
        <f>IF(SUM(L262:O262)=0,"",L262/SUM(L262:O262))</f>
        <v/>
      </c>
      <c r="U262" s="7">
        <f>IF(SUM(L262:O262)=0,"",M262/SUM(L262:O262))</f>
        <v/>
      </c>
      <c r="V262" s="7">
        <f>IF(SUM(L262:O262)=0,"",N262/SUM(L262:O262))</f>
        <v/>
      </c>
      <c r="W262" s="7">
        <f>IF(SUM(L262:O262)=0,"",O262/SUM(L262:O262))</f>
        <v/>
      </c>
    </row>
    <row r="263">
      <c r="A263" t="n">
        <v>292</v>
      </c>
      <c r="B263" t="inlineStr">
        <is>
          <t>Midland Rotary Foundation - $125,000</t>
        </is>
      </c>
      <c r="C263" t="n">
        <v>0</v>
      </c>
      <c r="D263" t="n">
        <v>1</v>
      </c>
      <c r="E263" t="n">
        <v>0</v>
      </c>
      <c r="F263" t="n">
        <v>0</v>
      </c>
      <c r="G263" t="b">
        <v>0</v>
      </c>
      <c r="H263" t="n">
        <v>0</v>
      </c>
      <c r="I263" t="n">
        <v>0</v>
      </c>
      <c r="J263" t="n">
        <v>0</v>
      </c>
      <c r="K263" t="n">
        <v>0</v>
      </c>
      <c r="L263" t="n">
        <v>0</v>
      </c>
      <c r="M263" t="n">
        <v>0</v>
      </c>
      <c r="N263" t="n">
        <v>1</v>
      </c>
      <c r="O263" t="n">
        <v>2</v>
      </c>
      <c r="P263" s="7">
        <f>IF(SUM(H263:K263)=0,"",H263/SUM(H263:K263))</f>
        <v/>
      </c>
      <c r="Q263" s="7">
        <f>IF(SUM(H263:K263)=0,"",I263/SUM(H263:K263))</f>
        <v/>
      </c>
      <c r="R263" s="7">
        <f>IF(SUM(H263:K263)=0,"",J263/SUM(H263:K263))</f>
        <v/>
      </c>
      <c r="S263" s="7">
        <f>IF(SUM(H263:K263)=0,"",K263/SUM(H263:K263))</f>
        <v/>
      </c>
      <c r="T263" s="7">
        <f>IF(SUM(L263:O263)=0,"",L263/SUM(L263:O263))</f>
        <v/>
      </c>
      <c r="U263" s="7">
        <f>IF(SUM(L263:O263)=0,"",M263/SUM(L263:O263))</f>
        <v/>
      </c>
      <c r="V263" s="7">
        <f>IF(SUM(L263:O263)=0,"",N263/SUM(L263:O263))</f>
        <v/>
      </c>
      <c r="W263" s="7">
        <f>IF(SUM(L263:O263)=0,"",O263/SUM(L263:O263))</f>
        <v/>
      </c>
    </row>
    <row r="264">
      <c r="A264" t="n">
        <v>293</v>
      </c>
      <c r="B264" t="inlineStr">
        <is>
          <t>Grove Park Full Accessible Bathroom Project</t>
        </is>
      </c>
      <c r="C264" t="n">
        <v>0</v>
      </c>
      <c r="D264" t="n">
        <v>1</v>
      </c>
      <c r="E264" t="n">
        <v>0</v>
      </c>
      <c r="F264" t="n">
        <v>0</v>
      </c>
      <c r="G264" t="b">
        <v>0</v>
      </c>
      <c r="H264" t="n">
        <v>0</v>
      </c>
      <c r="I264" t="n">
        <v>0</v>
      </c>
      <c r="J264" t="n">
        <v>0</v>
      </c>
      <c r="K264" t="n">
        <v>0</v>
      </c>
      <c r="L264" t="n">
        <v>0</v>
      </c>
      <c r="M264" t="n">
        <v>0</v>
      </c>
      <c r="N264" t="n">
        <v>1</v>
      </c>
      <c r="O264" t="n">
        <v>2</v>
      </c>
      <c r="P264" s="7">
        <f>IF(SUM(H264:K264)=0,"",H264/SUM(H264:K264))</f>
        <v/>
      </c>
      <c r="Q264" s="7">
        <f>IF(SUM(H264:K264)=0,"",I264/SUM(H264:K264))</f>
        <v/>
      </c>
      <c r="R264" s="7">
        <f>IF(SUM(H264:K264)=0,"",J264/SUM(H264:K264))</f>
        <v/>
      </c>
      <c r="S264" s="7">
        <f>IF(SUM(H264:K264)=0,"",K264/SUM(H264:K264))</f>
        <v/>
      </c>
      <c r="T264" s="7">
        <f>IF(SUM(L264:O264)=0,"",L264/SUM(L264:O264))</f>
        <v/>
      </c>
      <c r="U264" s="7">
        <f>IF(SUM(L264:O264)=0,"",M264/SUM(L264:O264))</f>
        <v/>
      </c>
      <c r="V264" s="7">
        <f>IF(SUM(L264:O264)=0,"",N264/SUM(L264:O264))</f>
        <v/>
      </c>
      <c r="W264" s="7">
        <f>IF(SUM(L264:O264)=0,"",O264/SUM(L264:O264))</f>
        <v/>
      </c>
    </row>
    <row r="265">
      <c r="A265" t="n">
        <v>294</v>
      </c>
      <c r="B265" t="inlineStr">
        <is>
          <t>Self Love Beauty - $10,000*</t>
        </is>
      </c>
      <c r="C265" t="n">
        <v>0</v>
      </c>
      <c r="D265" t="n">
        <v>1</v>
      </c>
      <c r="E265" t="n">
        <v>0</v>
      </c>
      <c r="F265" t="n">
        <v>0</v>
      </c>
      <c r="G265" t="b">
        <v>0</v>
      </c>
      <c r="H265" t="n">
        <v>0</v>
      </c>
      <c r="I265" t="n">
        <v>0</v>
      </c>
      <c r="J265" t="n">
        <v>0</v>
      </c>
      <c r="K265" t="n">
        <v>0</v>
      </c>
      <c r="L265" t="n">
        <v>0</v>
      </c>
      <c r="M265" t="n">
        <v>0</v>
      </c>
      <c r="N265" t="n">
        <v>1</v>
      </c>
      <c r="O265" t="n">
        <v>2</v>
      </c>
      <c r="P265" s="7">
        <f>IF(SUM(H265:K265)=0,"",H265/SUM(H265:K265))</f>
        <v/>
      </c>
      <c r="Q265" s="7">
        <f>IF(SUM(H265:K265)=0,"",I265/SUM(H265:K265))</f>
        <v/>
      </c>
      <c r="R265" s="7">
        <f>IF(SUM(H265:K265)=0,"",J265/SUM(H265:K265))</f>
        <v/>
      </c>
      <c r="S265" s="7">
        <f>IF(SUM(H265:K265)=0,"",K265/SUM(H265:K265))</f>
        <v/>
      </c>
      <c r="T265" s="7">
        <f>IF(SUM(L265:O265)=0,"",L265/SUM(L265:O265))</f>
        <v/>
      </c>
      <c r="U265" s="7">
        <f>IF(SUM(L265:O265)=0,"",M265/SUM(L265:O265))</f>
        <v/>
      </c>
      <c r="V265" s="7">
        <f>IF(SUM(L265:O265)=0,"",N265/SUM(L265:O265))</f>
        <v/>
      </c>
      <c r="W265" s="7">
        <f>IF(SUM(L265:O265)=0,"",O265/SUM(L265:O265))</f>
        <v/>
      </c>
    </row>
    <row r="266">
      <c r="A266" t="n">
        <v>295</v>
      </c>
      <c r="B266" t="inlineStr">
        <is>
          <t>Wellbeing &amp;amp; Confidence Focus Program for Bullock Creek High School</t>
        </is>
      </c>
      <c r="C266" t="n">
        <v>1</v>
      </c>
      <c r="D266" t="n">
        <v>1</v>
      </c>
      <c r="E266" t="n">
        <v>0</v>
      </c>
      <c r="F266" t="n">
        <v>0</v>
      </c>
      <c r="G266" t="b">
        <v>1</v>
      </c>
      <c r="H266" t="n">
        <v>0</v>
      </c>
      <c r="I266" t="n">
        <v>0</v>
      </c>
      <c r="J266" t="n">
        <v>2</v>
      </c>
      <c r="K266" t="n">
        <v>0</v>
      </c>
      <c r="L266" t="n">
        <v>0</v>
      </c>
      <c r="M266" t="n">
        <v>0</v>
      </c>
      <c r="N266" t="n">
        <v>1</v>
      </c>
      <c r="O266" t="n">
        <v>2</v>
      </c>
      <c r="P266" s="7">
        <f>IF(SUM(H266:K266)=0,"",H266/SUM(H266:K266))</f>
        <v/>
      </c>
      <c r="Q266" s="7">
        <f>IF(SUM(H266:K266)=0,"",I266/SUM(H266:K266))</f>
        <v/>
      </c>
      <c r="R266" s="7">
        <f>IF(SUM(H266:K266)=0,"",J266/SUM(H266:K266))</f>
        <v/>
      </c>
      <c r="S266" s="7">
        <f>IF(SUM(H266:K266)=0,"",K266/SUM(H266:K266))</f>
        <v/>
      </c>
      <c r="T266" s="7">
        <f>IF(SUM(L266:O266)=0,"",L266/SUM(L266:O266))</f>
        <v/>
      </c>
      <c r="U266" s="7">
        <f>IF(SUM(L266:O266)=0,"",M266/SUM(L266:O266))</f>
        <v/>
      </c>
      <c r="V266" s="7">
        <f>IF(SUM(L266:O266)=0,"",N266/SUM(L266:O266))</f>
        <v/>
      </c>
      <c r="W266" s="7">
        <f>IF(SUM(L266:O266)=0,"",O266/SUM(L266:O266))</f>
        <v/>
      </c>
    </row>
    <row r="267">
      <c r="A267" t="n">
        <v>296</v>
      </c>
      <c r="B267" t="inlineStr">
        <is>
          <t>Survivors of Suicide, Inc. - $40,000</t>
        </is>
      </c>
      <c r="C267" t="n">
        <v>0</v>
      </c>
      <c r="D267" t="n">
        <v>1</v>
      </c>
      <c r="E267" t="n">
        <v>0</v>
      </c>
      <c r="F267" t="n">
        <v>0</v>
      </c>
      <c r="G267" t="b">
        <v>0</v>
      </c>
      <c r="H267" t="n">
        <v>0</v>
      </c>
      <c r="I267" t="n">
        <v>0</v>
      </c>
      <c r="J267" t="n">
        <v>0</v>
      </c>
      <c r="K267" t="n">
        <v>0</v>
      </c>
      <c r="L267" t="n">
        <v>1</v>
      </c>
      <c r="M267" t="n">
        <v>0</v>
      </c>
      <c r="N267" t="n">
        <v>0</v>
      </c>
      <c r="O267" t="n">
        <v>2</v>
      </c>
      <c r="P267" s="7">
        <f>IF(SUM(H267:K267)=0,"",H267/SUM(H267:K267))</f>
        <v/>
      </c>
      <c r="Q267" s="7">
        <f>IF(SUM(H267:K267)=0,"",I267/SUM(H267:K267))</f>
        <v/>
      </c>
      <c r="R267" s="7">
        <f>IF(SUM(H267:K267)=0,"",J267/SUM(H267:K267))</f>
        <v/>
      </c>
      <c r="S267" s="7">
        <f>IF(SUM(H267:K267)=0,"",K267/SUM(H267:K267))</f>
        <v/>
      </c>
      <c r="T267" s="7">
        <f>IF(SUM(L267:O267)=0,"",L267/SUM(L267:O267))</f>
        <v/>
      </c>
      <c r="U267" s="7">
        <f>IF(SUM(L267:O267)=0,"",M267/SUM(L267:O267))</f>
        <v/>
      </c>
      <c r="V267" s="7">
        <f>IF(SUM(L267:O267)=0,"",N267/SUM(L267:O267))</f>
        <v/>
      </c>
      <c r="W267" s="7">
        <f>IF(SUM(L267:O267)=0,"",O267/SUM(L267:O267))</f>
        <v/>
      </c>
    </row>
    <row r="268">
      <c r="A268" t="n">
        <v>297</v>
      </c>
      <c r="B268" t="inlineStr">
        <is>
          <t>Creating a Safety Net Together</t>
        </is>
      </c>
      <c r="C268" t="n">
        <v>0</v>
      </c>
      <c r="D268" t="n">
        <v>1</v>
      </c>
      <c r="E268" t="n">
        <v>0</v>
      </c>
      <c r="F268" t="n">
        <v>0</v>
      </c>
      <c r="G268" t="b">
        <v>0</v>
      </c>
      <c r="H268" t="n">
        <v>0</v>
      </c>
      <c r="I268" t="n">
        <v>0</v>
      </c>
      <c r="J268" t="n">
        <v>0</v>
      </c>
      <c r="K268" t="n">
        <v>0</v>
      </c>
      <c r="L268" t="n">
        <v>0</v>
      </c>
      <c r="M268" t="n">
        <v>0</v>
      </c>
      <c r="N268" t="n">
        <v>1</v>
      </c>
      <c r="O268" t="n">
        <v>2</v>
      </c>
      <c r="P268" s="7">
        <f>IF(SUM(H268:K268)=0,"",H268/SUM(H268:K268))</f>
        <v/>
      </c>
      <c r="Q268" s="7">
        <f>IF(SUM(H268:K268)=0,"",I268/SUM(H268:K268))</f>
        <v/>
      </c>
      <c r="R268" s="7">
        <f>IF(SUM(H268:K268)=0,"",J268/SUM(H268:K268))</f>
        <v/>
      </c>
      <c r="S268" s="7">
        <f>IF(SUM(H268:K268)=0,"",K268/SUM(H268:K268))</f>
        <v/>
      </c>
      <c r="T268" s="7">
        <f>IF(SUM(L268:O268)=0,"",L268/SUM(L268:O268))</f>
        <v/>
      </c>
      <c r="U268" s="7">
        <f>IF(SUM(L268:O268)=0,"",M268/SUM(L268:O268))</f>
        <v/>
      </c>
      <c r="V268" s="7">
        <f>IF(SUM(L268:O268)=0,"",N268/SUM(L268:O268))</f>
        <v/>
      </c>
      <c r="W268" s="7">
        <f>IF(SUM(L268:O268)=0,"",O268/SUM(L268:O268))</f>
        <v/>
      </c>
    </row>
    <row r="269">
      <c r="A269" t="n">
        <v>298</v>
      </c>
      <c r="B269" t="inlineStr">
        <is>
          <t>The Breaking Bread Village - $55,000*</t>
        </is>
      </c>
      <c r="C269" t="n">
        <v>0</v>
      </c>
      <c r="D269" t="n">
        <v>1</v>
      </c>
      <c r="E269" t="n">
        <v>0</v>
      </c>
      <c r="F269" t="n">
        <v>0</v>
      </c>
      <c r="G269" t="b">
        <v>0</v>
      </c>
      <c r="H269" t="n">
        <v>0</v>
      </c>
      <c r="I269" t="n">
        <v>0</v>
      </c>
      <c r="J269" t="n">
        <v>0</v>
      </c>
      <c r="K269" t="n">
        <v>0</v>
      </c>
      <c r="L269" t="n">
        <v>1</v>
      </c>
      <c r="M269" t="n">
        <v>0</v>
      </c>
      <c r="N269" t="n">
        <v>0</v>
      </c>
      <c r="O269" t="n">
        <v>2</v>
      </c>
      <c r="P269" s="7">
        <f>IF(SUM(H269:K269)=0,"",H269/SUM(H269:K269))</f>
        <v/>
      </c>
      <c r="Q269" s="7">
        <f>IF(SUM(H269:K269)=0,"",I269/SUM(H269:K269))</f>
        <v/>
      </c>
      <c r="R269" s="7">
        <f>IF(SUM(H269:K269)=0,"",J269/SUM(H269:K269))</f>
        <v/>
      </c>
      <c r="S269" s="7">
        <f>IF(SUM(H269:K269)=0,"",K269/SUM(H269:K269))</f>
        <v/>
      </c>
      <c r="T269" s="7">
        <f>IF(SUM(L269:O269)=0,"",L269/SUM(L269:O269))</f>
        <v/>
      </c>
      <c r="U269" s="7">
        <f>IF(SUM(L269:O269)=0,"",M269/SUM(L269:O269))</f>
        <v/>
      </c>
      <c r="V269" s="7">
        <f>IF(SUM(L269:O269)=0,"",N269/SUM(L269:O269))</f>
        <v/>
      </c>
      <c r="W269" s="7">
        <f>IF(SUM(L269:O269)=0,"",O269/SUM(L269:O269))</f>
        <v/>
      </c>
    </row>
    <row r="270">
      <c r="A270" t="n">
        <v>299</v>
      </c>
      <c r="B270" t="inlineStr">
        <is>
          <t>Breaking Bread Together While Offering Hope</t>
        </is>
      </c>
      <c r="C270" t="n">
        <v>0</v>
      </c>
      <c r="D270" t="n">
        <v>1</v>
      </c>
      <c r="E270" t="n">
        <v>0</v>
      </c>
      <c r="F270" t="n">
        <v>0</v>
      </c>
      <c r="G270" t="b">
        <v>0</v>
      </c>
      <c r="H270" t="n">
        <v>0</v>
      </c>
      <c r="I270" t="n">
        <v>0</v>
      </c>
      <c r="J270" t="n">
        <v>0</v>
      </c>
      <c r="K270" t="n">
        <v>0</v>
      </c>
      <c r="L270" t="n">
        <v>1</v>
      </c>
      <c r="M270" t="n">
        <v>0</v>
      </c>
      <c r="N270" t="n">
        <v>0</v>
      </c>
      <c r="O270" t="n">
        <v>2</v>
      </c>
      <c r="P270" s="7">
        <f>IF(SUM(H270:K270)=0,"",H270/SUM(H270:K270))</f>
        <v/>
      </c>
      <c r="Q270" s="7">
        <f>IF(SUM(H270:K270)=0,"",I270/SUM(H270:K270))</f>
        <v/>
      </c>
      <c r="R270" s="7">
        <f>IF(SUM(H270:K270)=0,"",J270/SUM(H270:K270))</f>
        <v/>
      </c>
      <c r="S270" s="7">
        <f>IF(SUM(H270:K270)=0,"",K270/SUM(H270:K270))</f>
        <v/>
      </c>
      <c r="T270" s="7">
        <f>IF(SUM(L270:O270)=0,"",L270/SUM(L270:O270))</f>
        <v/>
      </c>
      <c r="U270" s="7">
        <f>IF(SUM(L270:O270)=0,"",M270/SUM(L270:O270))</f>
        <v/>
      </c>
      <c r="V270" s="7">
        <f>IF(SUM(L270:O270)=0,"",N270/SUM(L270:O270))</f>
        <v/>
      </c>
      <c r="W270" s="7">
        <f>IF(SUM(L270:O270)=0,"",O270/SUM(L270:O270))</f>
        <v/>
      </c>
    </row>
    <row r="271">
      <c r="A271" t="n">
        <v>300</v>
      </c>
      <c r="B271" t="inlineStr">
        <is>
          <t>The United Way of Midland County - $125,890*</t>
        </is>
      </c>
      <c r="C271" t="n">
        <v>0</v>
      </c>
      <c r="D271" t="n">
        <v>1</v>
      </c>
      <c r="E271" t="n">
        <v>0</v>
      </c>
      <c r="F271" t="n">
        <v>0</v>
      </c>
      <c r="G271" t="b">
        <v>0</v>
      </c>
      <c r="H271" t="n">
        <v>0</v>
      </c>
      <c r="I271" t="n">
        <v>0</v>
      </c>
      <c r="J271" t="n">
        <v>0</v>
      </c>
      <c r="K271" t="n">
        <v>0</v>
      </c>
      <c r="L271" t="n">
        <v>0</v>
      </c>
      <c r="M271" t="n">
        <v>0</v>
      </c>
      <c r="N271" t="n">
        <v>2</v>
      </c>
      <c r="O271" t="n">
        <v>1</v>
      </c>
      <c r="P271" s="7">
        <f>IF(SUM(H271:K271)=0,"",H271/SUM(H271:K271))</f>
        <v/>
      </c>
      <c r="Q271" s="7">
        <f>IF(SUM(H271:K271)=0,"",I271/SUM(H271:K271))</f>
        <v/>
      </c>
      <c r="R271" s="7">
        <f>IF(SUM(H271:K271)=0,"",J271/SUM(H271:K271))</f>
        <v/>
      </c>
      <c r="S271" s="7">
        <f>IF(SUM(H271:K271)=0,"",K271/SUM(H271:K271))</f>
        <v/>
      </c>
      <c r="T271" s="7">
        <f>IF(SUM(L271:O271)=0,"",L271/SUM(L271:O271))</f>
        <v/>
      </c>
      <c r="U271" s="7">
        <f>IF(SUM(L271:O271)=0,"",M271/SUM(L271:O271))</f>
        <v/>
      </c>
      <c r="V271" s="7">
        <f>IF(SUM(L271:O271)=0,"",N271/SUM(L271:O271))</f>
        <v/>
      </c>
      <c r="W271" s="7">
        <f>IF(SUM(L271:O271)=0,"",O271/SUM(L271:O271))</f>
        <v/>
      </c>
    </row>
    <row r="272">
      <c r="A272" t="n">
        <v>301</v>
      </c>
      <c r="B272" t="inlineStr">
        <is>
          <t>Support for the Leveraging Income For Tomorrow (LIFT) Program</t>
        </is>
      </c>
      <c r="C272" t="n">
        <v>0</v>
      </c>
      <c r="D272" t="n">
        <v>1</v>
      </c>
      <c r="E272" t="n">
        <v>0</v>
      </c>
      <c r="F272" t="n">
        <v>0</v>
      </c>
      <c r="G272" t="b">
        <v>0</v>
      </c>
      <c r="H272" t="n">
        <v>0</v>
      </c>
      <c r="I272" t="n">
        <v>0</v>
      </c>
      <c r="J272" t="n">
        <v>0</v>
      </c>
      <c r="K272" t="n">
        <v>0</v>
      </c>
      <c r="L272" t="n">
        <v>0</v>
      </c>
      <c r="M272" t="n">
        <v>0</v>
      </c>
      <c r="N272" t="n">
        <v>1</v>
      </c>
      <c r="O272" t="n">
        <v>2</v>
      </c>
      <c r="P272" s="7">
        <f>IF(SUM(H272:K272)=0,"",H272/SUM(H272:K272))</f>
        <v/>
      </c>
      <c r="Q272" s="7">
        <f>IF(SUM(H272:K272)=0,"",I272/SUM(H272:K272))</f>
        <v/>
      </c>
      <c r="R272" s="7">
        <f>IF(SUM(H272:K272)=0,"",J272/SUM(H272:K272))</f>
        <v/>
      </c>
      <c r="S272" s="7">
        <f>IF(SUM(H272:K272)=0,"",K272/SUM(H272:K272))</f>
        <v/>
      </c>
      <c r="T272" s="7">
        <f>IF(SUM(L272:O272)=0,"",L272/SUM(L272:O272))</f>
        <v/>
      </c>
      <c r="U272" s="7">
        <f>IF(SUM(L272:O272)=0,"",M272/SUM(L272:O272))</f>
        <v/>
      </c>
      <c r="V272" s="7">
        <f>IF(SUM(L272:O272)=0,"",N272/SUM(L272:O272))</f>
        <v/>
      </c>
      <c r="W272" s="7">
        <f>IF(SUM(L272:O272)=0,"",O272/SUM(L272:O272))</f>
        <v/>
      </c>
    </row>
    <row r="273">
      <c r="A273" t="n">
        <v>302</v>
      </c>
      <c r="B273" t="inlineStr">
        <is>
          <t>ENRICHING OUR COMMUNITY</t>
        </is>
      </c>
      <c r="C273" t="n">
        <v>0</v>
      </c>
      <c r="D273" t="n">
        <v>1</v>
      </c>
      <c r="E273" t="n">
        <v>0</v>
      </c>
      <c r="F273" t="n">
        <v>0</v>
      </c>
      <c r="G273" t="b">
        <v>0</v>
      </c>
      <c r="H273" t="n">
        <v>0</v>
      </c>
      <c r="I273" t="n">
        <v>0</v>
      </c>
      <c r="J273" t="n">
        <v>0</v>
      </c>
      <c r="K273" t="n">
        <v>0</v>
      </c>
      <c r="L273" t="n">
        <v>2</v>
      </c>
      <c r="M273" t="n">
        <v>0</v>
      </c>
      <c r="N273" t="n">
        <v>1</v>
      </c>
      <c r="O273" t="n">
        <v>0</v>
      </c>
      <c r="P273" s="7">
        <f>IF(SUM(H273:K273)=0,"",H273/SUM(H273:K273))</f>
        <v/>
      </c>
      <c r="Q273" s="7">
        <f>IF(SUM(H273:K273)=0,"",I273/SUM(H273:K273))</f>
        <v/>
      </c>
      <c r="R273" s="7">
        <f>IF(SUM(H273:K273)=0,"",J273/SUM(H273:K273))</f>
        <v/>
      </c>
      <c r="S273" s="7">
        <f>IF(SUM(H273:K273)=0,"",K273/SUM(H273:K273))</f>
        <v/>
      </c>
      <c r="T273" s="7">
        <f>IF(SUM(L273:O273)=0,"",L273/SUM(L273:O273))</f>
        <v/>
      </c>
      <c r="U273" s="7">
        <f>IF(SUM(L273:O273)=0,"",M273/SUM(L273:O273))</f>
        <v/>
      </c>
      <c r="V273" s="7">
        <f>IF(SUM(L273:O273)=0,"",N273/SUM(L273:O273))</f>
        <v/>
      </c>
      <c r="W273" s="7">
        <f>IF(SUM(L273:O273)=0,"",O273/SUM(L273:O273))</f>
        <v/>
      </c>
    </row>
    <row r="274">
      <c r="A274" t="n">
        <v>303</v>
      </c>
      <c r="B274" t="inlineStr">
        <is>
          <t>Bullock Creek Youth Football League - $10,000*</t>
        </is>
      </c>
      <c r="C274" t="n">
        <v>0</v>
      </c>
      <c r="D274" t="n">
        <v>1</v>
      </c>
      <c r="E274" t="n">
        <v>0</v>
      </c>
      <c r="F274" t="n">
        <v>0</v>
      </c>
      <c r="G274" t="b">
        <v>0</v>
      </c>
      <c r="H274" t="n">
        <v>0</v>
      </c>
      <c r="I274" t="n">
        <v>0</v>
      </c>
      <c r="J274" t="n">
        <v>0</v>
      </c>
      <c r="K274" t="n">
        <v>0</v>
      </c>
      <c r="L274" t="n">
        <v>2</v>
      </c>
      <c r="M274" t="n">
        <v>0</v>
      </c>
      <c r="N274" t="n">
        <v>1</v>
      </c>
      <c r="O274" t="n">
        <v>0</v>
      </c>
      <c r="P274" s="7">
        <f>IF(SUM(H274:K274)=0,"",H274/SUM(H274:K274))</f>
        <v/>
      </c>
      <c r="Q274" s="7">
        <f>IF(SUM(H274:K274)=0,"",I274/SUM(H274:K274))</f>
        <v/>
      </c>
      <c r="R274" s="7">
        <f>IF(SUM(H274:K274)=0,"",J274/SUM(H274:K274))</f>
        <v/>
      </c>
      <c r="S274" s="7">
        <f>IF(SUM(H274:K274)=0,"",K274/SUM(H274:K274))</f>
        <v/>
      </c>
      <c r="T274" s="7">
        <f>IF(SUM(L274:O274)=0,"",L274/SUM(L274:O274))</f>
        <v/>
      </c>
      <c r="U274" s="7">
        <f>IF(SUM(L274:O274)=0,"",M274/SUM(L274:O274))</f>
        <v/>
      </c>
      <c r="V274" s="7">
        <f>IF(SUM(L274:O274)=0,"",N274/SUM(L274:O274))</f>
        <v/>
      </c>
      <c r="W274" s="7">
        <f>IF(SUM(L274:O274)=0,"",O274/SUM(L274:O274))</f>
        <v/>
      </c>
    </row>
    <row r="275">
      <c r="A275" t="n">
        <v>305</v>
      </c>
      <c r="B275" t="inlineStr">
        <is>
          <t>City of Midland - Parks &amp;amp; Recreation - $40,000</t>
        </is>
      </c>
      <c r="C275" t="n">
        <v>1</v>
      </c>
      <c r="D275" t="n">
        <v>1</v>
      </c>
      <c r="E275" t="n">
        <v>0</v>
      </c>
      <c r="F275" t="n">
        <v>0</v>
      </c>
      <c r="G275" t="b">
        <v>1</v>
      </c>
      <c r="H275" t="n">
        <v>0</v>
      </c>
      <c r="I275" t="n">
        <v>0</v>
      </c>
      <c r="J275" t="n">
        <v>2</v>
      </c>
      <c r="K275" t="n">
        <v>0</v>
      </c>
      <c r="L275" t="n">
        <v>1</v>
      </c>
      <c r="M275" t="n">
        <v>0</v>
      </c>
      <c r="N275" t="n">
        <v>2</v>
      </c>
      <c r="O275" t="n">
        <v>0</v>
      </c>
      <c r="P275" s="7">
        <f>IF(SUM(H275:K275)=0,"",H275/SUM(H275:K275))</f>
        <v/>
      </c>
      <c r="Q275" s="7">
        <f>IF(SUM(H275:K275)=0,"",I275/SUM(H275:K275))</f>
        <v/>
      </c>
      <c r="R275" s="7">
        <f>IF(SUM(H275:K275)=0,"",J275/SUM(H275:K275))</f>
        <v/>
      </c>
      <c r="S275" s="7">
        <f>IF(SUM(H275:K275)=0,"",K275/SUM(H275:K275))</f>
        <v/>
      </c>
      <c r="T275" s="7">
        <f>IF(SUM(L275:O275)=0,"",L275/SUM(L275:O275))</f>
        <v/>
      </c>
      <c r="U275" s="7">
        <f>IF(SUM(L275:O275)=0,"",M275/SUM(L275:O275))</f>
        <v/>
      </c>
      <c r="V275" s="7">
        <f>IF(SUM(L275:O275)=0,"",N275/SUM(L275:O275))</f>
        <v/>
      </c>
      <c r="W275" s="7">
        <f>IF(SUM(L275:O275)=0,"",O275/SUM(L275:O275))</f>
        <v/>
      </c>
    </row>
    <row r="276">
      <c r="A276" t="n">
        <v>306</v>
      </c>
      <c r="B276" t="inlineStr">
        <is>
          <t>Riverfront Trail Pedestrian Railing System</t>
        </is>
      </c>
      <c r="C276" t="n">
        <v>1</v>
      </c>
      <c r="D276" t="n">
        <v>1</v>
      </c>
      <c r="E276" t="n">
        <v>0</v>
      </c>
      <c r="F276" t="n">
        <v>0</v>
      </c>
      <c r="G276" t="b">
        <v>1</v>
      </c>
      <c r="H276" t="n">
        <v>0</v>
      </c>
      <c r="I276" t="n">
        <v>0</v>
      </c>
      <c r="J276" t="n">
        <v>2</v>
      </c>
      <c r="K276" t="n">
        <v>0</v>
      </c>
      <c r="L276" t="n">
        <v>1</v>
      </c>
      <c r="M276" t="n">
        <v>0</v>
      </c>
      <c r="N276" t="n">
        <v>2</v>
      </c>
      <c r="O276" t="n">
        <v>0</v>
      </c>
      <c r="P276" s="7">
        <f>IF(SUM(H276:K276)=0,"",H276/SUM(H276:K276))</f>
        <v/>
      </c>
      <c r="Q276" s="7">
        <f>IF(SUM(H276:K276)=0,"",I276/SUM(H276:K276))</f>
        <v/>
      </c>
      <c r="R276" s="7">
        <f>IF(SUM(H276:K276)=0,"",J276/SUM(H276:K276))</f>
        <v/>
      </c>
      <c r="S276" s="7">
        <f>IF(SUM(H276:K276)=0,"",K276/SUM(H276:K276))</f>
        <v/>
      </c>
      <c r="T276" s="7">
        <f>IF(SUM(L276:O276)=0,"",L276/SUM(L276:O276))</f>
        <v/>
      </c>
      <c r="U276" s="7">
        <f>IF(SUM(L276:O276)=0,"",M276/SUM(L276:O276))</f>
        <v/>
      </c>
      <c r="V276" s="7">
        <f>IF(SUM(L276:O276)=0,"",N276/SUM(L276:O276))</f>
        <v/>
      </c>
      <c r="W276" s="7">
        <f>IF(SUM(L276:O276)=0,"",O276/SUM(L276:O276))</f>
        <v/>
      </c>
    </row>
    <row r="277">
      <c r="A277" t="n">
        <v>307</v>
      </c>
      <c r="B277" t="inlineStr">
        <is>
          <t>Creative 360 - $55,000*</t>
        </is>
      </c>
      <c r="C277" t="n">
        <v>0</v>
      </c>
      <c r="D277" t="n">
        <v>1</v>
      </c>
      <c r="E277" t="n">
        <v>0</v>
      </c>
      <c r="F277" t="n">
        <v>0</v>
      </c>
      <c r="G277" t="b">
        <v>0</v>
      </c>
      <c r="H277" t="n">
        <v>0</v>
      </c>
      <c r="I277" t="n">
        <v>0</v>
      </c>
      <c r="J277" t="n">
        <v>0</v>
      </c>
      <c r="K277" t="n">
        <v>0</v>
      </c>
      <c r="L277" t="n">
        <v>2</v>
      </c>
      <c r="M277" t="n">
        <v>0</v>
      </c>
      <c r="N277" t="n">
        <v>0</v>
      </c>
      <c r="O277" t="n">
        <v>1</v>
      </c>
      <c r="P277" s="7">
        <f>IF(SUM(H277:K277)=0,"",H277/SUM(H277:K277))</f>
        <v/>
      </c>
      <c r="Q277" s="7">
        <f>IF(SUM(H277:K277)=0,"",I277/SUM(H277:K277))</f>
        <v/>
      </c>
      <c r="R277" s="7">
        <f>IF(SUM(H277:K277)=0,"",J277/SUM(H277:K277))</f>
        <v/>
      </c>
      <c r="S277" s="7">
        <f>IF(SUM(H277:K277)=0,"",K277/SUM(H277:K277))</f>
        <v/>
      </c>
      <c r="T277" s="7">
        <f>IF(SUM(L277:O277)=0,"",L277/SUM(L277:O277))</f>
        <v/>
      </c>
      <c r="U277" s="7">
        <f>IF(SUM(L277:O277)=0,"",M277/SUM(L277:O277))</f>
        <v/>
      </c>
      <c r="V277" s="7">
        <f>IF(SUM(L277:O277)=0,"",N277/SUM(L277:O277))</f>
        <v/>
      </c>
      <c r="W277" s="7">
        <f>IF(SUM(L277:O277)=0,"",O277/SUM(L277:O277))</f>
        <v/>
      </c>
    </row>
    <row r="278">
      <c r="A278" t="n">
        <v>308</v>
      </c>
      <c r="B278" t="inlineStr">
        <is>
          <t>Meeting our Community Where They Live: An Inclusive &amp;amp; Community-Centered Wellness Training Program</t>
        </is>
      </c>
      <c r="C278" t="n">
        <v>0</v>
      </c>
      <c r="D278" t="n">
        <v>1</v>
      </c>
      <c r="E278" t="n">
        <v>0</v>
      </c>
      <c r="F278" t="n">
        <v>0</v>
      </c>
      <c r="G278" t="b">
        <v>0</v>
      </c>
      <c r="H278" t="n">
        <v>0</v>
      </c>
      <c r="I278" t="n">
        <v>0</v>
      </c>
      <c r="J278" t="n">
        <v>0</v>
      </c>
      <c r="K278" t="n">
        <v>0</v>
      </c>
      <c r="L278" t="n">
        <v>0</v>
      </c>
      <c r="M278" t="n">
        <v>0</v>
      </c>
      <c r="N278" t="n">
        <v>1</v>
      </c>
      <c r="O278" t="n">
        <v>2</v>
      </c>
      <c r="P278" s="7">
        <f>IF(SUM(H278:K278)=0,"",H278/SUM(H278:K278))</f>
        <v/>
      </c>
      <c r="Q278" s="7">
        <f>IF(SUM(H278:K278)=0,"",I278/SUM(H278:K278))</f>
        <v/>
      </c>
      <c r="R278" s="7">
        <f>IF(SUM(H278:K278)=0,"",J278/SUM(H278:K278))</f>
        <v/>
      </c>
      <c r="S278" s="7">
        <f>IF(SUM(H278:K278)=0,"",K278/SUM(H278:K278))</f>
        <v/>
      </c>
      <c r="T278" s="7">
        <f>IF(SUM(L278:O278)=0,"",L278/SUM(L278:O278))</f>
        <v/>
      </c>
      <c r="U278" s="7">
        <f>IF(SUM(L278:O278)=0,"",M278/SUM(L278:O278))</f>
        <v/>
      </c>
      <c r="V278" s="7">
        <f>IF(SUM(L278:O278)=0,"",N278/SUM(L278:O278))</f>
        <v/>
      </c>
      <c r="W278" s="7">
        <f>IF(SUM(L278:O278)=0,"",O278/SUM(L278:O278))</f>
        <v/>
      </c>
    </row>
    <row r="279">
      <c r="A279" t="n">
        <v>309</v>
      </c>
      <c r="B279" t="inlineStr">
        <is>
          <t>Midland Center for the Arts - $10,000*</t>
        </is>
      </c>
      <c r="C279" t="n">
        <v>0</v>
      </c>
      <c r="D279" t="n">
        <v>1</v>
      </c>
      <c r="E279" t="n">
        <v>0</v>
      </c>
      <c r="F279" t="n">
        <v>0</v>
      </c>
      <c r="G279" t="b">
        <v>0</v>
      </c>
      <c r="H279" t="n">
        <v>0</v>
      </c>
      <c r="I279" t="n">
        <v>0</v>
      </c>
      <c r="J279" t="n">
        <v>0</v>
      </c>
      <c r="K279" t="n">
        <v>0</v>
      </c>
      <c r="L279" t="n">
        <v>2</v>
      </c>
      <c r="M279" t="n">
        <v>0</v>
      </c>
      <c r="N279" t="n">
        <v>1</v>
      </c>
      <c r="O279" t="n">
        <v>0</v>
      </c>
      <c r="P279" s="7">
        <f>IF(SUM(H279:K279)=0,"",H279/SUM(H279:K279))</f>
        <v/>
      </c>
      <c r="Q279" s="7">
        <f>IF(SUM(H279:K279)=0,"",I279/SUM(H279:K279))</f>
        <v/>
      </c>
      <c r="R279" s="7">
        <f>IF(SUM(H279:K279)=0,"",J279/SUM(H279:K279))</f>
        <v/>
      </c>
      <c r="S279" s="7">
        <f>IF(SUM(H279:K279)=0,"",K279/SUM(H279:K279))</f>
        <v/>
      </c>
      <c r="T279" s="7">
        <f>IF(SUM(L279:O279)=0,"",L279/SUM(L279:O279))</f>
        <v/>
      </c>
      <c r="U279" s="7">
        <f>IF(SUM(L279:O279)=0,"",M279/SUM(L279:O279))</f>
        <v/>
      </c>
      <c r="V279" s="7">
        <f>IF(SUM(L279:O279)=0,"",N279/SUM(L279:O279))</f>
        <v/>
      </c>
      <c r="W279" s="7">
        <f>IF(SUM(L279:O279)=0,"",O279/SUM(L279:O279))</f>
        <v/>
      </c>
    </row>
    <row r="280">
      <c r="A280" t="n">
        <v>310</v>
      </c>
      <c r="B280" t="inlineStr">
        <is>
          <t>Midland Center for the Arts Renovation Project</t>
        </is>
      </c>
      <c r="C280" t="n">
        <v>0</v>
      </c>
      <c r="D280" t="n">
        <v>1</v>
      </c>
      <c r="E280" t="n">
        <v>0</v>
      </c>
      <c r="F280" t="n">
        <v>0</v>
      </c>
      <c r="G280" t="b">
        <v>0</v>
      </c>
      <c r="H280" t="n">
        <v>0</v>
      </c>
      <c r="I280" t="n">
        <v>0</v>
      </c>
      <c r="J280" t="n">
        <v>0</v>
      </c>
      <c r="K280" t="n">
        <v>0</v>
      </c>
      <c r="L280" t="n">
        <v>2</v>
      </c>
      <c r="M280" t="n">
        <v>0</v>
      </c>
      <c r="N280" t="n">
        <v>1</v>
      </c>
      <c r="O280" t="n">
        <v>0</v>
      </c>
      <c r="P280" s="7">
        <f>IF(SUM(H280:K280)=0,"",H280/SUM(H280:K280))</f>
        <v/>
      </c>
      <c r="Q280" s="7">
        <f>IF(SUM(H280:K280)=0,"",I280/SUM(H280:K280))</f>
        <v/>
      </c>
      <c r="R280" s="7">
        <f>IF(SUM(H280:K280)=0,"",J280/SUM(H280:K280))</f>
        <v/>
      </c>
      <c r="S280" s="7">
        <f>IF(SUM(H280:K280)=0,"",K280/SUM(H280:K280))</f>
        <v/>
      </c>
      <c r="T280" s="7">
        <f>IF(SUM(L280:O280)=0,"",L280/SUM(L280:O280))</f>
        <v/>
      </c>
      <c r="U280" s="7">
        <f>IF(SUM(L280:O280)=0,"",M280/SUM(L280:O280))</f>
        <v/>
      </c>
      <c r="V280" s="7">
        <f>IF(SUM(L280:O280)=0,"",N280/SUM(L280:O280))</f>
        <v/>
      </c>
      <c r="W280" s="7">
        <f>IF(SUM(L280:O280)=0,"",O280/SUM(L280:O280))</f>
        <v/>
      </c>
    </row>
    <row r="281">
      <c r="A281" t="n">
        <v>311</v>
      </c>
      <c r="B281" t="inlineStr">
        <is>
          <t>Midland Center for the Arts - $100,000</t>
        </is>
      </c>
      <c r="C281" t="n">
        <v>0</v>
      </c>
      <c r="D281" t="n">
        <v>1</v>
      </c>
      <c r="E281" t="n">
        <v>0</v>
      </c>
      <c r="F281" t="n">
        <v>0</v>
      </c>
      <c r="G281" t="b">
        <v>0</v>
      </c>
      <c r="H281" t="n">
        <v>0</v>
      </c>
      <c r="I281" t="n">
        <v>0</v>
      </c>
      <c r="J281" t="n">
        <v>0</v>
      </c>
      <c r="K281" t="n">
        <v>0</v>
      </c>
      <c r="L281" t="n">
        <v>2</v>
      </c>
      <c r="M281" t="n">
        <v>0</v>
      </c>
      <c r="N281" t="n">
        <v>1</v>
      </c>
      <c r="O281" t="n">
        <v>0</v>
      </c>
      <c r="P281" s="7">
        <f>IF(SUM(H281:K281)=0,"",H281/SUM(H281:K281))</f>
        <v/>
      </c>
      <c r="Q281" s="7">
        <f>IF(SUM(H281:K281)=0,"",I281/SUM(H281:K281))</f>
        <v/>
      </c>
      <c r="R281" s="7">
        <f>IF(SUM(H281:K281)=0,"",J281/SUM(H281:K281))</f>
        <v/>
      </c>
      <c r="S281" s="7">
        <f>IF(SUM(H281:K281)=0,"",K281/SUM(H281:K281))</f>
        <v/>
      </c>
      <c r="T281" s="7">
        <f>IF(SUM(L281:O281)=0,"",L281/SUM(L281:O281))</f>
        <v/>
      </c>
      <c r="U281" s="7">
        <f>IF(SUM(L281:O281)=0,"",M281/SUM(L281:O281))</f>
        <v/>
      </c>
      <c r="V281" s="7">
        <f>IF(SUM(L281:O281)=0,"",N281/SUM(L281:O281))</f>
        <v/>
      </c>
      <c r="W281" s="7">
        <f>IF(SUM(L281:O281)=0,"",O281/SUM(L281:O281))</f>
        <v/>
      </c>
    </row>
    <row r="282">
      <c r="A282" t="n">
        <v>312</v>
      </c>
      <c r="B282" t="inlineStr">
        <is>
          <t>Midland Center for the Arts Renovation Project</t>
        </is>
      </c>
      <c r="C282" t="n">
        <v>0</v>
      </c>
      <c r="D282" t="n">
        <v>1</v>
      </c>
      <c r="E282" t="n">
        <v>0</v>
      </c>
      <c r="F282" t="n">
        <v>0</v>
      </c>
      <c r="G282" t="b">
        <v>0</v>
      </c>
      <c r="H282" t="n">
        <v>0</v>
      </c>
      <c r="I282" t="n">
        <v>0</v>
      </c>
      <c r="J282" t="n">
        <v>0</v>
      </c>
      <c r="K282" t="n">
        <v>0</v>
      </c>
      <c r="L282" t="n">
        <v>2</v>
      </c>
      <c r="M282" t="n">
        <v>0</v>
      </c>
      <c r="N282" t="n">
        <v>1</v>
      </c>
      <c r="O282" t="n">
        <v>0</v>
      </c>
      <c r="P282" s="7">
        <f>IF(SUM(H282:K282)=0,"",H282/SUM(H282:K282))</f>
        <v/>
      </c>
      <c r="Q282" s="7">
        <f>IF(SUM(H282:K282)=0,"",I282/SUM(H282:K282))</f>
        <v/>
      </c>
      <c r="R282" s="7">
        <f>IF(SUM(H282:K282)=0,"",J282/SUM(H282:K282))</f>
        <v/>
      </c>
      <c r="S282" s="7">
        <f>IF(SUM(H282:K282)=0,"",K282/SUM(H282:K282))</f>
        <v/>
      </c>
      <c r="T282" s="7">
        <f>IF(SUM(L282:O282)=0,"",L282/SUM(L282:O282))</f>
        <v/>
      </c>
      <c r="U282" s="7">
        <f>IF(SUM(L282:O282)=0,"",M282/SUM(L282:O282))</f>
        <v/>
      </c>
      <c r="V282" s="7">
        <f>IF(SUM(L282:O282)=0,"",N282/SUM(L282:O282))</f>
        <v/>
      </c>
      <c r="W282" s="7">
        <f>IF(SUM(L282:O282)=0,"",O282/SUM(L282:O282))</f>
        <v/>
      </c>
    </row>
    <row r="283">
      <c r="A283" t="n">
        <v>313</v>
      </c>
      <c r="B283" t="inlineStr">
        <is>
          <t>Midland Township - $100,000</t>
        </is>
      </c>
      <c r="C283" t="n">
        <v>1</v>
      </c>
      <c r="D283" t="n">
        <v>1</v>
      </c>
      <c r="E283" t="n">
        <v>0</v>
      </c>
      <c r="F283" t="n">
        <v>0</v>
      </c>
      <c r="G283" t="b">
        <v>1</v>
      </c>
      <c r="H283" t="n">
        <v>0</v>
      </c>
      <c r="I283" t="n">
        <v>0</v>
      </c>
      <c r="J283" t="n">
        <v>2</v>
      </c>
      <c r="K283" t="n">
        <v>0</v>
      </c>
      <c r="L283" t="n">
        <v>1</v>
      </c>
      <c r="M283" t="n">
        <v>0</v>
      </c>
      <c r="N283" t="n">
        <v>2</v>
      </c>
      <c r="O283" t="n">
        <v>0</v>
      </c>
      <c r="P283" s="7">
        <f>IF(SUM(H283:K283)=0,"",H283/SUM(H283:K283))</f>
        <v/>
      </c>
      <c r="Q283" s="7">
        <f>IF(SUM(H283:K283)=0,"",I283/SUM(H283:K283))</f>
        <v/>
      </c>
      <c r="R283" s="7">
        <f>IF(SUM(H283:K283)=0,"",J283/SUM(H283:K283))</f>
        <v/>
      </c>
      <c r="S283" s="7">
        <f>IF(SUM(H283:K283)=0,"",K283/SUM(H283:K283))</f>
        <v/>
      </c>
      <c r="T283" s="7">
        <f>IF(SUM(L283:O283)=0,"",L283/SUM(L283:O283))</f>
        <v/>
      </c>
      <c r="U283" s="7">
        <f>IF(SUM(L283:O283)=0,"",M283/SUM(L283:O283))</f>
        <v/>
      </c>
      <c r="V283" s="7">
        <f>IF(SUM(L283:O283)=0,"",N283/SUM(L283:O283))</f>
        <v/>
      </c>
      <c r="W283" s="7">
        <f>IF(SUM(L283:O283)=0,"",O283/SUM(L283:O283))</f>
        <v/>
      </c>
    </row>
    <row r="284">
      <c r="A284" t="n">
        <v>314</v>
      </c>
      <c r="B284" t="inlineStr">
        <is>
          <t>Midland Township Path Extension</t>
        </is>
      </c>
      <c r="C284" t="n">
        <v>1</v>
      </c>
      <c r="D284" t="n">
        <v>1</v>
      </c>
      <c r="E284" t="n">
        <v>0</v>
      </c>
      <c r="F284" t="n">
        <v>0</v>
      </c>
      <c r="G284" t="b">
        <v>1</v>
      </c>
      <c r="H284" t="n">
        <v>0</v>
      </c>
      <c r="I284" t="n">
        <v>0</v>
      </c>
      <c r="J284" t="n">
        <v>2</v>
      </c>
      <c r="K284" t="n">
        <v>0</v>
      </c>
      <c r="L284" t="n">
        <v>1</v>
      </c>
      <c r="M284" t="n">
        <v>0</v>
      </c>
      <c r="N284" t="n">
        <v>2</v>
      </c>
      <c r="O284" t="n">
        <v>0</v>
      </c>
      <c r="P284" s="7">
        <f>IF(SUM(H284:K284)=0,"",H284/SUM(H284:K284))</f>
        <v/>
      </c>
      <c r="Q284" s="7">
        <f>IF(SUM(H284:K284)=0,"",I284/SUM(H284:K284))</f>
        <v/>
      </c>
      <c r="R284" s="7">
        <f>IF(SUM(H284:K284)=0,"",J284/SUM(H284:K284))</f>
        <v/>
      </c>
      <c r="S284" s="7">
        <f>IF(SUM(H284:K284)=0,"",K284/SUM(H284:K284))</f>
        <v/>
      </c>
      <c r="T284" s="7">
        <f>IF(SUM(L284:O284)=0,"",L284/SUM(L284:O284))</f>
        <v/>
      </c>
      <c r="U284" s="7">
        <f>IF(SUM(L284:O284)=0,"",M284/SUM(L284:O284))</f>
        <v/>
      </c>
      <c r="V284" s="7">
        <f>IF(SUM(L284:O284)=0,"",N284/SUM(L284:O284))</f>
        <v/>
      </c>
      <c r="W284" s="7">
        <f>IF(SUM(L284:O284)=0,"",O284/SUM(L284:O284))</f>
        <v/>
      </c>
    </row>
    <row r="285">
      <c r="A285" t="n">
        <v>315</v>
      </c>
      <c r="B285" t="inlineStr">
        <is>
          <t>Saint Brigid of Kildare Parish of Midland - $40,000</t>
        </is>
      </c>
      <c r="C285" t="n">
        <v>0</v>
      </c>
      <c r="D285" t="n">
        <v>1</v>
      </c>
      <c r="E285" t="n">
        <v>0</v>
      </c>
      <c r="F285" t="n">
        <v>0</v>
      </c>
      <c r="G285" t="b">
        <v>0</v>
      </c>
      <c r="H285" t="n">
        <v>0</v>
      </c>
      <c r="I285" t="n">
        <v>0</v>
      </c>
      <c r="J285" t="n">
        <v>0</v>
      </c>
      <c r="K285" t="n">
        <v>0</v>
      </c>
      <c r="L285" t="n">
        <v>2</v>
      </c>
      <c r="M285" t="n">
        <v>0</v>
      </c>
      <c r="N285" t="n">
        <v>1</v>
      </c>
      <c r="O285" t="n">
        <v>0</v>
      </c>
      <c r="P285" s="7">
        <f>IF(SUM(H285:K285)=0,"",H285/SUM(H285:K285))</f>
        <v/>
      </c>
      <c r="Q285" s="7">
        <f>IF(SUM(H285:K285)=0,"",I285/SUM(H285:K285))</f>
        <v/>
      </c>
      <c r="R285" s="7">
        <f>IF(SUM(H285:K285)=0,"",J285/SUM(H285:K285))</f>
        <v/>
      </c>
      <c r="S285" s="7">
        <f>IF(SUM(H285:K285)=0,"",K285/SUM(H285:K285))</f>
        <v/>
      </c>
      <c r="T285" s="7">
        <f>IF(SUM(L285:O285)=0,"",L285/SUM(L285:O285))</f>
        <v/>
      </c>
      <c r="U285" s="7">
        <f>IF(SUM(L285:O285)=0,"",M285/SUM(L285:O285))</f>
        <v/>
      </c>
      <c r="V285" s="7">
        <f>IF(SUM(L285:O285)=0,"",N285/SUM(L285:O285))</f>
        <v/>
      </c>
      <c r="W285" s="7">
        <f>IF(SUM(L285:O285)=0,"",O285/SUM(L285:O285))</f>
        <v/>
      </c>
    </row>
    <row r="286">
      <c r="A286" t="n">
        <v>316</v>
      </c>
      <c r="B286" t="inlineStr">
        <is>
          <t>Playscape Replacement &amp;amp; Safety Enhancement of Saint Brigid of Kildare Playground</t>
        </is>
      </c>
      <c r="C286" t="n">
        <v>1</v>
      </c>
      <c r="D286" t="n">
        <v>1</v>
      </c>
      <c r="E286" t="n">
        <v>0</v>
      </c>
      <c r="F286" t="n">
        <v>0</v>
      </c>
      <c r="G286" t="b">
        <v>1</v>
      </c>
      <c r="H286" t="n">
        <v>0</v>
      </c>
      <c r="I286" t="n">
        <v>0</v>
      </c>
      <c r="J286" t="n">
        <v>2</v>
      </c>
      <c r="K286" t="n">
        <v>0</v>
      </c>
      <c r="L286" t="n">
        <v>2</v>
      </c>
      <c r="M286" t="n">
        <v>0</v>
      </c>
      <c r="N286" t="n">
        <v>1</v>
      </c>
      <c r="O286" t="n">
        <v>0</v>
      </c>
      <c r="P286" s="7">
        <f>IF(SUM(H286:K286)=0,"",H286/SUM(H286:K286))</f>
        <v/>
      </c>
      <c r="Q286" s="7">
        <f>IF(SUM(H286:K286)=0,"",I286/SUM(H286:K286))</f>
        <v/>
      </c>
      <c r="R286" s="7">
        <f>IF(SUM(H286:K286)=0,"",J286/SUM(H286:K286))</f>
        <v/>
      </c>
      <c r="S286" s="7">
        <f>IF(SUM(H286:K286)=0,"",K286/SUM(H286:K286))</f>
        <v/>
      </c>
      <c r="T286" s="7">
        <f>IF(SUM(L286:O286)=0,"",L286/SUM(L286:O286))</f>
        <v/>
      </c>
      <c r="U286" s="7">
        <f>IF(SUM(L286:O286)=0,"",M286/SUM(L286:O286))</f>
        <v/>
      </c>
      <c r="V286" s="7">
        <f>IF(SUM(L286:O286)=0,"",N286/SUM(L286:O286))</f>
        <v/>
      </c>
      <c r="W286" s="7">
        <f>IF(SUM(L286:O286)=0,"",O286/SUM(L286:O286))</f>
        <v/>
      </c>
    </row>
    <row r="287">
      <c r="A287" t="n">
        <v>317</v>
      </c>
      <c r="B287" t="inlineStr">
        <is>
          <t>Sanford Historical Society - $5,000*</t>
        </is>
      </c>
      <c r="C287" t="n">
        <v>0</v>
      </c>
      <c r="D287" t="n">
        <v>1</v>
      </c>
      <c r="E287" t="n">
        <v>0</v>
      </c>
      <c r="F287" t="n">
        <v>0</v>
      </c>
      <c r="G287" t="b">
        <v>0</v>
      </c>
      <c r="H287" t="n">
        <v>0</v>
      </c>
      <c r="I287" t="n">
        <v>0</v>
      </c>
      <c r="J287" t="n">
        <v>0</v>
      </c>
      <c r="K287" t="n">
        <v>0</v>
      </c>
      <c r="L287" t="n">
        <v>2</v>
      </c>
      <c r="M287" t="n">
        <v>0</v>
      </c>
      <c r="N287" t="n">
        <v>1</v>
      </c>
      <c r="O287" t="n">
        <v>0</v>
      </c>
      <c r="P287" s="7">
        <f>IF(SUM(H287:K287)=0,"",H287/SUM(H287:K287))</f>
        <v/>
      </c>
      <c r="Q287" s="7">
        <f>IF(SUM(H287:K287)=0,"",I287/SUM(H287:K287))</f>
        <v/>
      </c>
      <c r="R287" s="7">
        <f>IF(SUM(H287:K287)=0,"",J287/SUM(H287:K287))</f>
        <v/>
      </c>
      <c r="S287" s="7">
        <f>IF(SUM(H287:K287)=0,"",K287/SUM(H287:K287))</f>
        <v/>
      </c>
      <c r="T287" s="7">
        <f>IF(SUM(L287:O287)=0,"",L287/SUM(L287:O287))</f>
        <v/>
      </c>
      <c r="U287" s="7">
        <f>IF(SUM(L287:O287)=0,"",M287/SUM(L287:O287))</f>
        <v/>
      </c>
      <c r="V287" s="7">
        <f>IF(SUM(L287:O287)=0,"",N287/SUM(L287:O287))</f>
        <v/>
      </c>
      <c r="W287" s="7">
        <f>IF(SUM(L287:O287)=0,"",O287/SUM(L287:O287))</f>
        <v/>
      </c>
    </row>
    <row r="288">
      <c r="A288" t="n">
        <v>318</v>
      </c>
      <c r="B288" t="inlineStr">
        <is>
          <t>Sanford's Santa House</t>
        </is>
      </c>
      <c r="C288" t="n">
        <v>0</v>
      </c>
      <c r="D288" t="n">
        <v>1</v>
      </c>
      <c r="E288" t="n">
        <v>0</v>
      </c>
      <c r="F288" t="n">
        <v>0</v>
      </c>
      <c r="G288" t="b">
        <v>0</v>
      </c>
      <c r="H288" t="n">
        <v>0</v>
      </c>
      <c r="I288" t="n">
        <v>0</v>
      </c>
      <c r="J288" t="n">
        <v>0</v>
      </c>
      <c r="K288" t="n">
        <v>0</v>
      </c>
      <c r="L288" t="n">
        <v>2</v>
      </c>
      <c r="M288" t="n">
        <v>0</v>
      </c>
      <c r="N288" t="n">
        <v>1</v>
      </c>
      <c r="O288" t="n">
        <v>0</v>
      </c>
      <c r="P288" s="7">
        <f>IF(SUM(H288:K288)=0,"",H288/SUM(H288:K288))</f>
        <v/>
      </c>
      <c r="Q288" s="7">
        <f>IF(SUM(H288:K288)=0,"",I288/SUM(H288:K288))</f>
        <v/>
      </c>
      <c r="R288" s="7">
        <f>IF(SUM(H288:K288)=0,"",J288/SUM(H288:K288))</f>
        <v/>
      </c>
      <c r="S288" s="7">
        <f>IF(SUM(H288:K288)=0,"",K288/SUM(H288:K288))</f>
        <v/>
      </c>
      <c r="T288" s="7">
        <f>IF(SUM(L288:O288)=0,"",L288/SUM(L288:O288))</f>
        <v/>
      </c>
      <c r="U288" s="7">
        <f>IF(SUM(L288:O288)=0,"",M288/SUM(L288:O288))</f>
        <v/>
      </c>
      <c r="V288" s="7">
        <f>IF(SUM(L288:O288)=0,"",N288/SUM(L288:O288))</f>
        <v/>
      </c>
      <c r="W288" s="7">
        <f>IF(SUM(L288:O288)=0,"",O288/SUM(L288:O288))</f>
        <v/>
      </c>
    </row>
    <row r="289">
      <c r="A289" t="n">
        <v>319</v>
      </c>
      <c r="B289" t="inlineStr">
        <is>
          <t>The Little Forks Conservancy - $100,000</t>
        </is>
      </c>
      <c r="C289" t="n">
        <v>0</v>
      </c>
      <c r="D289" t="n">
        <v>1</v>
      </c>
      <c r="E289" t="n">
        <v>0</v>
      </c>
      <c r="F289" t="n">
        <v>0</v>
      </c>
      <c r="G289" t="b">
        <v>0</v>
      </c>
      <c r="H289" t="n">
        <v>0</v>
      </c>
      <c r="I289" t="n">
        <v>0</v>
      </c>
      <c r="J289" t="n">
        <v>0</v>
      </c>
      <c r="K289" t="n">
        <v>0</v>
      </c>
      <c r="L289" t="n">
        <v>2</v>
      </c>
      <c r="M289" t="n">
        <v>0</v>
      </c>
      <c r="N289" t="n">
        <v>1</v>
      </c>
      <c r="O289" t="n">
        <v>0</v>
      </c>
      <c r="P289" s="7">
        <f>IF(SUM(H289:K289)=0,"",H289/SUM(H289:K289))</f>
        <v/>
      </c>
      <c r="Q289" s="7">
        <f>IF(SUM(H289:K289)=0,"",I289/SUM(H289:K289))</f>
        <v/>
      </c>
      <c r="R289" s="7">
        <f>IF(SUM(H289:K289)=0,"",J289/SUM(H289:K289))</f>
        <v/>
      </c>
      <c r="S289" s="7">
        <f>IF(SUM(H289:K289)=0,"",K289/SUM(H289:K289))</f>
        <v/>
      </c>
      <c r="T289" s="7">
        <f>IF(SUM(L289:O289)=0,"",L289/SUM(L289:O289))</f>
        <v/>
      </c>
      <c r="U289" s="7">
        <f>IF(SUM(L289:O289)=0,"",M289/SUM(L289:O289))</f>
        <v/>
      </c>
      <c r="V289" s="7">
        <f>IF(SUM(L289:O289)=0,"",N289/SUM(L289:O289))</f>
        <v/>
      </c>
      <c r="W289" s="7">
        <f>IF(SUM(L289:O289)=0,"",O289/SUM(L289:O289))</f>
        <v/>
      </c>
    </row>
    <row r="290">
      <c r="A290" t="n">
        <v>320</v>
      </c>
      <c r="B290" t="inlineStr">
        <is>
          <t>Nelson Woods Acquisition &amp;amp; Improvement Project</t>
        </is>
      </c>
      <c r="C290" t="n">
        <v>1</v>
      </c>
      <c r="D290" t="n">
        <v>1</v>
      </c>
      <c r="E290" t="n">
        <v>0</v>
      </c>
      <c r="F290" t="n">
        <v>0</v>
      </c>
      <c r="G290" t="b">
        <v>1</v>
      </c>
      <c r="H290" t="n">
        <v>0</v>
      </c>
      <c r="I290" t="n">
        <v>0</v>
      </c>
      <c r="J290" t="n">
        <v>2</v>
      </c>
      <c r="K290" t="n">
        <v>0</v>
      </c>
      <c r="L290" t="n">
        <v>2</v>
      </c>
      <c r="M290" t="n">
        <v>0</v>
      </c>
      <c r="N290" t="n">
        <v>1</v>
      </c>
      <c r="O290" t="n">
        <v>0</v>
      </c>
      <c r="P290" s="7">
        <f>IF(SUM(H290:K290)=0,"",H290/SUM(H290:K290))</f>
        <v/>
      </c>
      <c r="Q290" s="7">
        <f>IF(SUM(H290:K290)=0,"",I290/SUM(H290:K290))</f>
        <v/>
      </c>
      <c r="R290" s="7">
        <f>IF(SUM(H290:K290)=0,"",J290/SUM(H290:K290))</f>
        <v/>
      </c>
      <c r="S290" s="7">
        <f>IF(SUM(H290:K290)=0,"",K290/SUM(H290:K290))</f>
        <v/>
      </c>
      <c r="T290" s="7">
        <f>IF(SUM(L290:O290)=0,"",L290/SUM(L290:O290))</f>
        <v/>
      </c>
      <c r="U290" s="7">
        <f>IF(SUM(L290:O290)=0,"",M290/SUM(L290:O290))</f>
        <v/>
      </c>
      <c r="V290" s="7">
        <f>IF(SUM(L290:O290)=0,"",N290/SUM(L290:O290))</f>
        <v/>
      </c>
      <c r="W290" s="7">
        <f>IF(SUM(L290:O290)=0,"",O290/SUM(L290:O290))</f>
        <v/>
      </c>
    </row>
    <row r="291">
      <c r="A291" t="n">
        <v>321</v>
      </c>
      <c r="B291" t="inlineStr">
        <is>
          <t>*Grants made during the ARPA Grant Cycle *Youth Action Council Grants</t>
        </is>
      </c>
      <c r="C291" t="n">
        <v>0</v>
      </c>
      <c r="D291" t="n">
        <v>1</v>
      </c>
      <c r="E291" t="n">
        <v>0</v>
      </c>
      <c r="F291" t="n">
        <v>0</v>
      </c>
      <c r="G291" t="b">
        <v>0</v>
      </c>
      <c r="H291" t="n">
        <v>0</v>
      </c>
      <c r="I291" t="n">
        <v>0</v>
      </c>
      <c r="J291" t="n">
        <v>0</v>
      </c>
      <c r="K291" t="n">
        <v>0</v>
      </c>
      <c r="L291" t="n">
        <v>0</v>
      </c>
      <c r="M291" t="n">
        <v>0</v>
      </c>
      <c r="N291" t="n">
        <v>2</v>
      </c>
      <c r="O291" t="n">
        <v>1</v>
      </c>
      <c r="P291" s="7">
        <f>IF(SUM(H291:K291)=0,"",H291/SUM(H291:K291))</f>
        <v/>
      </c>
      <c r="Q291" s="7">
        <f>IF(SUM(H291:K291)=0,"",I291/SUM(H291:K291))</f>
        <v/>
      </c>
      <c r="R291" s="7">
        <f>IF(SUM(H291:K291)=0,"",J291/SUM(H291:K291))</f>
        <v/>
      </c>
      <c r="S291" s="7">
        <f>IF(SUM(H291:K291)=0,"",K291/SUM(H291:K291))</f>
        <v/>
      </c>
      <c r="T291" s="7">
        <f>IF(SUM(L291:O291)=0,"",L291/SUM(L291:O291))</f>
        <v/>
      </c>
      <c r="U291" s="7">
        <f>IF(SUM(L291:O291)=0,"",M291/SUM(L291:O291))</f>
        <v/>
      </c>
      <c r="V291" s="7">
        <f>IF(SUM(L291:O291)=0,"",N291/SUM(L291:O291))</f>
        <v/>
      </c>
      <c r="W291" s="7">
        <f>IF(SUM(L291:O291)=0,"",O291/SUM(L291:O291))</f>
        <v/>
      </c>
    </row>
    <row r="292">
      <c r="A292" t="n">
        <v>322</v>
      </c>
      <c r="B292" t="inlineStr">
        <is>
          <t>[community_foundation_tag] granted to support Creative 360's Sprouts &amp;amp; STEM Program in 2022.</t>
        </is>
      </c>
      <c r="C292" t="n">
        <v>0</v>
      </c>
      <c r="D292" t="n">
        <v>2</v>
      </c>
      <c r="E292" t="n">
        <v>0</v>
      </c>
      <c r="F292" t="n">
        <v>0</v>
      </c>
      <c r="G292" t="b">
        <v>0</v>
      </c>
      <c r="H292" t="n">
        <v>0</v>
      </c>
      <c r="I292" t="n">
        <v>0</v>
      </c>
      <c r="J292" t="n">
        <v>0</v>
      </c>
      <c r="K292" t="n">
        <v>0</v>
      </c>
      <c r="L292" t="n">
        <v>2</v>
      </c>
      <c r="M292" t="n">
        <v>0</v>
      </c>
      <c r="N292" t="n">
        <v>4</v>
      </c>
      <c r="O292" t="n">
        <v>0</v>
      </c>
      <c r="P292" s="7">
        <f>IF(SUM(H292:K292)=0,"",H292/SUM(H292:K292))</f>
        <v/>
      </c>
      <c r="Q292" s="7">
        <f>IF(SUM(H292:K292)=0,"",I292/SUM(H292:K292))</f>
        <v/>
      </c>
      <c r="R292" s="7">
        <f>IF(SUM(H292:K292)=0,"",J292/SUM(H292:K292))</f>
        <v/>
      </c>
      <c r="S292" s="7">
        <f>IF(SUM(H292:K292)=0,"",K292/SUM(H292:K292))</f>
        <v/>
      </c>
      <c r="T292" s="7">
        <f>IF(SUM(L292:O292)=0,"",L292/SUM(L292:O292))</f>
        <v/>
      </c>
      <c r="U292" s="7">
        <f>IF(SUM(L292:O292)=0,"",M292/SUM(L292:O292))</f>
        <v/>
      </c>
      <c r="V292" s="7">
        <f>IF(SUM(L292:O292)=0,"",N292/SUM(L292:O292))</f>
        <v/>
      </c>
      <c r="W292" s="7">
        <f>IF(SUM(L292:O292)=0,"",O292/SUM(L292:O292))</f>
        <v/>
      </c>
    </row>
    <row r="293">
      <c r="A293" t="n">
        <v>323</v>
      </c>
      <c r="B293" t="inlineStr">
        <is>
          <t>ARPA Grantmaking [community_foundation_tag] partnered with the County of Midland in 2022 to grant $600,000 in American Rescue Plan Act (ARPA) funds to local nonprofits, enabling them to continue providing vital services to Midland County residents.</t>
        </is>
      </c>
      <c r="C293" t="n">
        <v>1</v>
      </c>
      <c r="D293" t="n">
        <v>2</v>
      </c>
      <c r="E293" t="n">
        <v>0</v>
      </c>
      <c r="F293" t="n">
        <v>0</v>
      </c>
      <c r="G293" t="b">
        <v>1</v>
      </c>
      <c r="H293" t="n">
        <v>0</v>
      </c>
      <c r="I293" t="n">
        <v>0</v>
      </c>
      <c r="J293" t="n">
        <v>2</v>
      </c>
      <c r="K293" t="n">
        <v>0</v>
      </c>
      <c r="L293" t="n">
        <v>2</v>
      </c>
      <c r="M293" t="n">
        <v>0</v>
      </c>
      <c r="N293" t="n">
        <v>4</v>
      </c>
      <c r="O293" t="n">
        <v>0</v>
      </c>
      <c r="P293" s="7">
        <f>IF(SUM(H293:K293)=0,"",H293/SUM(H293:K293))</f>
        <v/>
      </c>
      <c r="Q293" s="7">
        <f>IF(SUM(H293:K293)=0,"",I293/SUM(H293:K293))</f>
        <v/>
      </c>
      <c r="R293" s="7">
        <f>IF(SUM(H293:K293)=0,"",J293/SUM(H293:K293))</f>
        <v/>
      </c>
      <c r="S293" s="7">
        <f>IF(SUM(H293:K293)=0,"",K293/SUM(H293:K293))</f>
        <v/>
      </c>
      <c r="T293" s="7">
        <f>IF(SUM(L293:O293)=0,"",L293/SUM(L293:O293))</f>
        <v/>
      </c>
      <c r="U293" s="7">
        <f>IF(SUM(L293:O293)=0,"",M293/SUM(L293:O293))</f>
        <v/>
      </c>
      <c r="V293" s="7">
        <f>IF(SUM(L293:O293)=0,"",N293/SUM(L293:O293))</f>
        <v/>
      </c>
      <c r="W293" s="7">
        <f>IF(SUM(L293:O293)=0,"",O293/SUM(L293:O293))</f>
        <v/>
      </c>
    </row>
    <row r="294">
      <c r="A294" t="n">
        <v>324</v>
      </c>
      <c r="B294" t="inlineStr">
        <is>
          <t>'[community_foundation_tag] purpose is to cultivate the power of giving within [community_foundation_tag] community, support long-term transformation, and help ensure all residents thrive,' said [individual_tag], President &amp;amp; CEO of [community_foundation_tag]. 'Through [community_foundation_tag] partnership with the County of Midland, [community_foundation_tag] were able to aid local nonprofits that positively impact the quality of life in Midland County.'</t>
        </is>
      </c>
      <c r="C294" t="n">
        <v>1</v>
      </c>
      <c r="D294" t="n">
        <v>4</v>
      </c>
      <c r="E294" t="n">
        <v>0</v>
      </c>
      <c r="F294" t="n">
        <v>0</v>
      </c>
      <c r="G294" t="b">
        <v>1</v>
      </c>
      <c r="H294" t="n">
        <v>0</v>
      </c>
      <c r="I294" t="n">
        <v>0</v>
      </c>
      <c r="J294" t="n">
        <v>2</v>
      </c>
      <c r="K294" t="n">
        <v>0</v>
      </c>
      <c r="L294" t="n">
        <v>3</v>
      </c>
      <c r="M294" t="n">
        <v>0</v>
      </c>
      <c r="N294" t="n">
        <v>6</v>
      </c>
      <c r="O294" t="n">
        <v>3</v>
      </c>
      <c r="P294" s="7">
        <f>IF(SUM(H294:K294)=0,"",H294/SUM(H294:K294))</f>
        <v/>
      </c>
      <c r="Q294" s="7">
        <f>IF(SUM(H294:K294)=0,"",I294/SUM(H294:K294))</f>
        <v/>
      </c>
      <c r="R294" s="7">
        <f>IF(SUM(H294:K294)=0,"",J294/SUM(H294:K294))</f>
        <v/>
      </c>
      <c r="S294" s="7">
        <f>IF(SUM(H294:K294)=0,"",K294/SUM(H294:K294))</f>
        <v/>
      </c>
      <c r="T294" s="7">
        <f>IF(SUM(L294:O294)=0,"",L294/SUM(L294:O294))</f>
        <v/>
      </c>
      <c r="U294" s="7">
        <f>IF(SUM(L294:O294)=0,"",M294/SUM(L294:O294))</f>
        <v/>
      </c>
      <c r="V294" s="7">
        <f>IF(SUM(L294:O294)=0,"",N294/SUM(L294:O294))</f>
        <v/>
      </c>
      <c r="W294" s="7">
        <f>IF(SUM(L294:O294)=0,"",O294/SUM(L294:O294))</f>
        <v/>
      </c>
    </row>
    <row r="295">
      <c r="A295" t="n">
        <v>325</v>
      </c>
      <c r="B295" t="inlineStr">
        <is>
          <t>Application requests were up to $150,000.</t>
        </is>
      </c>
      <c r="C295" t="n">
        <v>0</v>
      </c>
      <c r="D295" t="n">
        <v>1</v>
      </c>
      <c r="E295" t="n">
        <v>0</v>
      </c>
      <c r="F295" t="n">
        <v>0</v>
      </c>
      <c r="G295" t="b">
        <v>0</v>
      </c>
      <c r="H295" t="n">
        <v>0</v>
      </c>
      <c r="I295" t="n">
        <v>0</v>
      </c>
      <c r="J295" t="n">
        <v>0</v>
      </c>
      <c r="K295" t="n">
        <v>0</v>
      </c>
      <c r="L295" t="n">
        <v>1</v>
      </c>
      <c r="M295" t="n">
        <v>0</v>
      </c>
      <c r="N295" t="n">
        <v>2</v>
      </c>
      <c r="O295" t="n">
        <v>0</v>
      </c>
      <c r="P295" s="7">
        <f>IF(SUM(H295:K295)=0,"",H295/SUM(H295:K295))</f>
        <v/>
      </c>
      <c r="Q295" s="7">
        <f>IF(SUM(H295:K295)=0,"",I295/SUM(H295:K295))</f>
        <v/>
      </c>
      <c r="R295" s="7">
        <f>IF(SUM(H295:K295)=0,"",J295/SUM(H295:K295))</f>
        <v/>
      </c>
      <c r="S295" s="7">
        <f>IF(SUM(H295:K295)=0,"",K295/SUM(H295:K295))</f>
        <v/>
      </c>
      <c r="T295" s="7">
        <f>IF(SUM(L295:O295)=0,"",L295/SUM(L295:O295))</f>
        <v/>
      </c>
      <c r="U295" s="7">
        <f>IF(SUM(L295:O295)=0,"",M295/SUM(L295:O295))</f>
        <v/>
      </c>
      <c r="V295" s="7">
        <f>IF(SUM(L295:O295)=0,"",N295/SUM(L295:O295))</f>
        <v/>
      </c>
      <c r="W295" s="7">
        <f>IF(SUM(L295:O295)=0,"",O295/SUM(L295:O295))</f>
        <v/>
      </c>
    </row>
    <row r="296">
      <c r="A296" t="n">
        <v>326</v>
      </c>
      <c r="B296" t="inlineStr">
        <is>
          <t>This grant opportunity sought highly collaborative proposals between nonprofits and diverse sectors in Midland County.</t>
        </is>
      </c>
      <c r="C296" t="n">
        <v>1</v>
      </c>
      <c r="D296" t="n">
        <v>2</v>
      </c>
      <c r="E296" t="n">
        <v>0</v>
      </c>
      <c r="F296" t="n">
        <v>0</v>
      </c>
      <c r="G296" t="b">
        <v>1</v>
      </c>
      <c r="H296" t="n">
        <v>0</v>
      </c>
      <c r="I296" t="n">
        <v>0</v>
      </c>
      <c r="J296" t="n">
        <v>2</v>
      </c>
      <c r="K296" t="n">
        <v>0</v>
      </c>
      <c r="L296" t="n">
        <v>0</v>
      </c>
      <c r="M296" t="n">
        <v>0</v>
      </c>
      <c r="N296" t="n">
        <v>4</v>
      </c>
      <c r="O296" t="n">
        <v>2</v>
      </c>
      <c r="P296" s="7">
        <f>IF(SUM(H296:K296)=0,"",H296/SUM(H296:K296))</f>
        <v/>
      </c>
      <c r="Q296" s="7">
        <f>IF(SUM(H296:K296)=0,"",I296/SUM(H296:K296))</f>
        <v/>
      </c>
      <c r="R296" s="7">
        <f>IF(SUM(H296:K296)=0,"",J296/SUM(H296:K296))</f>
        <v/>
      </c>
      <c r="S296" s="7">
        <f>IF(SUM(H296:K296)=0,"",K296/SUM(H296:K296))</f>
        <v/>
      </c>
      <c r="T296" s="7">
        <f>IF(SUM(L296:O296)=0,"",L296/SUM(L296:O296))</f>
        <v/>
      </c>
      <c r="U296" s="7">
        <f>IF(SUM(L296:O296)=0,"",M296/SUM(L296:O296))</f>
        <v/>
      </c>
      <c r="V296" s="7">
        <f>IF(SUM(L296:O296)=0,"",N296/SUM(L296:O296))</f>
        <v/>
      </c>
      <c r="W296" s="7">
        <f>IF(SUM(L296:O296)=0,"",O296/SUM(L296:O296))</f>
        <v/>
      </c>
    </row>
    <row r="297">
      <c r="A297" t="n">
        <v>327</v>
      </c>
      <c r="B297" t="inlineStr">
        <is>
          <t>Applications were considered based on guidelines set forth by the State Budget Office's American Rescue Plan Priorities.</t>
        </is>
      </c>
      <c r="C297" t="n">
        <v>1</v>
      </c>
      <c r="D297" t="n">
        <v>1</v>
      </c>
      <c r="E297" t="n">
        <v>0</v>
      </c>
      <c r="F297" t="n">
        <v>0</v>
      </c>
      <c r="G297" t="b">
        <v>1</v>
      </c>
      <c r="H297" t="n">
        <v>0</v>
      </c>
      <c r="I297" t="n">
        <v>0</v>
      </c>
      <c r="J297" t="n">
        <v>2</v>
      </c>
      <c r="K297" t="n">
        <v>0</v>
      </c>
      <c r="L297" t="n">
        <v>1</v>
      </c>
      <c r="M297" t="n">
        <v>0</v>
      </c>
      <c r="N297" t="n">
        <v>2</v>
      </c>
      <c r="O297" t="n">
        <v>0</v>
      </c>
      <c r="P297" s="7">
        <f>IF(SUM(H297:K297)=0,"",H297/SUM(H297:K297))</f>
        <v/>
      </c>
      <c r="Q297" s="7">
        <f>IF(SUM(H297:K297)=0,"",I297/SUM(H297:K297))</f>
        <v/>
      </c>
      <c r="R297" s="7">
        <f>IF(SUM(H297:K297)=0,"",J297/SUM(H297:K297))</f>
        <v/>
      </c>
      <c r="S297" s="7">
        <f>IF(SUM(H297:K297)=0,"",K297/SUM(H297:K297))</f>
        <v/>
      </c>
      <c r="T297" s="7">
        <f>IF(SUM(L297:O297)=0,"",L297/SUM(L297:O297))</f>
        <v/>
      </c>
      <c r="U297" s="7">
        <f>IF(SUM(L297:O297)=0,"",M297/SUM(L297:O297))</f>
        <v/>
      </c>
      <c r="V297" s="7">
        <f>IF(SUM(L297:O297)=0,"",N297/SUM(L297:O297))</f>
        <v/>
      </c>
      <c r="W297" s="7">
        <f>IF(SUM(L297:O297)=0,"",O297/SUM(L297:O297))</f>
        <v/>
      </c>
    </row>
    <row r="298">
      <c r="A298" t="n">
        <v>328</v>
      </c>
      <c r="B298" t="inlineStr">
        <is>
          <t>The grant request rubric was based on the following nine categories:</t>
        </is>
      </c>
      <c r="C298" t="n">
        <v>0</v>
      </c>
      <c r="D298" t="n">
        <v>1</v>
      </c>
      <c r="E298" t="n">
        <v>0</v>
      </c>
      <c r="F298" t="n">
        <v>0</v>
      </c>
      <c r="G298" t="b">
        <v>0</v>
      </c>
      <c r="H298" t="n">
        <v>0</v>
      </c>
      <c r="I298" t="n">
        <v>0</v>
      </c>
      <c r="J298" t="n">
        <v>0</v>
      </c>
      <c r="K298" t="n">
        <v>0</v>
      </c>
      <c r="L298" t="n">
        <v>1</v>
      </c>
      <c r="M298" t="n">
        <v>0</v>
      </c>
      <c r="N298" t="n">
        <v>2</v>
      </c>
      <c r="O298" t="n">
        <v>0</v>
      </c>
      <c r="P298" s="7">
        <f>IF(SUM(H298:K298)=0,"",H298/SUM(H298:K298))</f>
        <v/>
      </c>
      <c r="Q298" s="7">
        <f>IF(SUM(H298:K298)=0,"",I298/SUM(H298:K298))</f>
        <v/>
      </c>
      <c r="R298" s="7">
        <f>IF(SUM(H298:K298)=0,"",J298/SUM(H298:K298))</f>
        <v/>
      </c>
      <c r="S298" s="7">
        <f>IF(SUM(H298:K298)=0,"",K298/SUM(H298:K298))</f>
        <v/>
      </c>
      <c r="T298" s="7">
        <f>IF(SUM(L298:O298)=0,"",L298/SUM(L298:O298))</f>
        <v/>
      </c>
      <c r="U298" s="7">
        <f>IF(SUM(L298:O298)=0,"",M298/SUM(L298:O298))</f>
        <v/>
      </c>
      <c r="V298" s="7">
        <f>IF(SUM(L298:O298)=0,"",N298/SUM(L298:O298))</f>
        <v/>
      </c>
      <c r="W298" s="7">
        <f>IF(SUM(L298:O298)=0,"",O298/SUM(L298:O298))</f>
        <v/>
      </c>
    </row>
    <row r="299">
      <c r="A299" t="n">
        <v>331</v>
      </c>
      <c r="B299" t="inlineStr">
        <is>
          <t>'[community_foundation_tag] has been engaged in grantmaking in Midland County for almost 50 years,' said [individual_tag], Midland County Administrator/Controller. 'We were pleased to have them assist the County of Midland with their grantmaking expertise to provide relief to impactful local nonprofits.'</t>
        </is>
      </c>
      <c r="C299" t="n">
        <v>1</v>
      </c>
      <c r="D299" t="n">
        <v>2</v>
      </c>
      <c r="E299" t="n">
        <v>0</v>
      </c>
      <c r="F299" t="n">
        <v>0</v>
      </c>
      <c r="G299" t="b">
        <v>1</v>
      </c>
      <c r="H299" t="n">
        <v>1</v>
      </c>
      <c r="I299" t="n">
        <v>0</v>
      </c>
      <c r="J299" t="n">
        <v>2</v>
      </c>
      <c r="K299" t="n">
        <v>0</v>
      </c>
      <c r="L299" t="n">
        <v>4</v>
      </c>
      <c r="M299" t="n">
        <v>0</v>
      </c>
      <c r="N299" t="n">
        <v>2</v>
      </c>
      <c r="O299" t="n">
        <v>0</v>
      </c>
      <c r="P299" s="7">
        <f>IF(SUM(H299:K299)=0,"",H299/SUM(H299:K299))</f>
        <v/>
      </c>
      <c r="Q299" s="7">
        <f>IF(SUM(H299:K299)=0,"",I299/SUM(H299:K299))</f>
        <v/>
      </c>
      <c r="R299" s="7">
        <f>IF(SUM(H299:K299)=0,"",J299/SUM(H299:K299))</f>
        <v/>
      </c>
      <c r="S299" s="7">
        <f>IF(SUM(H299:K299)=0,"",K299/SUM(H299:K299))</f>
        <v/>
      </c>
      <c r="T299" s="7">
        <f>IF(SUM(L299:O299)=0,"",L299/SUM(L299:O299))</f>
        <v/>
      </c>
      <c r="U299" s="7">
        <f>IF(SUM(L299:O299)=0,"",M299/SUM(L299:O299))</f>
        <v/>
      </c>
      <c r="V299" s="7">
        <f>IF(SUM(L299:O299)=0,"",N299/SUM(L299:O299))</f>
        <v/>
      </c>
      <c r="W299" s="7">
        <f>IF(SUM(L299:O299)=0,"",O299/SUM(L299:O299))</f>
        <v/>
      </c>
    </row>
    <row r="300">
      <c r="A300" t="n">
        <v>332</v>
      </c>
      <c r="B300" t="inlineStr">
        <is>
          <t>This grant opportunity was open to all 501(c)(3) nonprofits in Midland County.</t>
        </is>
      </c>
      <c r="C300" t="n">
        <v>0</v>
      </c>
      <c r="D300" t="n">
        <v>2</v>
      </c>
      <c r="E300" t="n">
        <v>0</v>
      </c>
      <c r="F300" t="n">
        <v>0</v>
      </c>
      <c r="G300" t="b">
        <v>0</v>
      </c>
      <c r="H300" t="n">
        <v>0</v>
      </c>
      <c r="I300" t="n">
        <v>0</v>
      </c>
      <c r="J300" t="n">
        <v>0</v>
      </c>
      <c r="K300" t="n">
        <v>0</v>
      </c>
      <c r="L300" t="n">
        <v>2</v>
      </c>
      <c r="M300" t="n">
        <v>0</v>
      </c>
      <c r="N300" t="n">
        <v>4</v>
      </c>
      <c r="O300" t="n">
        <v>0</v>
      </c>
      <c r="P300" s="7">
        <f>IF(SUM(H300:K300)=0,"",H300/SUM(H300:K300))</f>
        <v/>
      </c>
      <c r="Q300" s="7">
        <f>IF(SUM(H300:K300)=0,"",I300/SUM(H300:K300))</f>
        <v/>
      </c>
      <c r="R300" s="7">
        <f>IF(SUM(H300:K300)=0,"",J300/SUM(H300:K300))</f>
        <v/>
      </c>
      <c r="S300" s="7">
        <f>IF(SUM(H300:K300)=0,"",K300/SUM(H300:K300))</f>
        <v/>
      </c>
      <c r="T300" s="7">
        <f>IF(SUM(L300:O300)=0,"",L300/SUM(L300:O300))</f>
        <v/>
      </c>
      <c r="U300" s="7">
        <f>IF(SUM(L300:O300)=0,"",M300/SUM(L300:O300))</f>
        <v/>
      </c>
      <c r="V300" s="7">
        <f>IF(SUM(L300:O300)=0,"",N300/SUM(L300:O300))</f>
        <v/>
      </c>
      <c r="W300" s="7">
        <f>IF(SUM(L300:O300)=0,"",O300/SUM(L300:O300))</f>
        <v/>
      </c>
    </row>
    <row r="301">
      <c r="A301" t="n">
        <v>333</v>
      </c>
      <c r="B301" t="inlineStr">
        <is>
          <t>Legacy Society</t>
        </is>
      </c>
      <c r="C301" t="n">
        <v>0</v>
      </c>
      <c r="D301" t="n">
        <v>1</v>
      </c>
      <c r="E301" t="n">
        <v>0</v>
      </c>
      <c r="F301" t="n">
        <v>0</v>
      </c>
      <c r="G301" t="b">
        <v>0</v>
      </c>
      <c r="H301" t="n">
        <v>0</v>
      </c>
      <c r="I301" t="n">
        <v>0</v>
      </c>
      <c r="J301" t="n">
        <v>0</v>
      </c>
      <c r="K301" t="n">
        <v>0</v>
      </c>
      <c r="L301" t="n">
        <v>1</v>
      </c>
      <c r="M301" t="n">
        <v>2</v>
      </c>
      <c r="N301" t="n">
        <v>0</v>
      </c>
      <c r="O301" t="n">
        <v>0</v>
      </c>
      <c r="P301" s="7">
        <f>IF(SUM(H301:K301)=0,"",H301/SUM(H301:K301))</f>
        <v/>
      </c>
      <c r="Q301" s="7">
        <f>IF(SUM(H301:K301)=0,"",I301/SUM(H301:K301))</f>
        <v/>
      </c>
      <c r="R301" s="7">
        <f>IF(SUM(H301:K301)=0,"",J301/SUM(H301:K301))</f>
        <v/>
      </c>
      <c r="S301" s="7">
        <f>IF(SUM(H301:K301)=0,"",K301/SUM(H301:K301))</f>
        <v/>
      </c>
      <c r="T301" s="7">
        <f>IF(SUM(L301:O301)=0,"",L301/SUM(L301:O301))</f>
        <v/>
      </c>
      <c r="U301" s="7">
        <f>IF(SUM(L301:O301)=0,"",M301/SUM(L301:O301))</f>
        <v/>
      </c>
      <c r="V301" s="7">
        <f>IF(SUM(L301:O301)=0,"",N301/SUM(L301:O301))</f>
        <v/>
      </c>
      <c r="W301" s="7">
        <f>IF(SUM(L301:O301)=0,"",O301/SUM(L301:O301))</f>
        <v/>
      </c>
    </row>
    <row r="302">
      <c r="A302" t="n">
        <v>334</v>
      </c>
      <c r="B302" t="inlineStr">
        <is>
          <t>Members of the Legacy Society have chosen to include [community_foundation_tag] in their estate plans. This means that after they pass, assets such as their IRA or real estate will be gifted to [community_foundation_tag].</t>
        </is>
      </c>
      <c r="C302" t="n">
        <v>1</v>
      </c>
      <c r="D302" t="n">
        <v>2</v>
      </c>
      <c r="E302" t="n">
        <v>0</v>
      </c>
      <c r="F302" t="n">
        <v>0</v>
      </c>
      <c r="G302" t="b">
        <v>1</v>
      </c>
      <c r="H302" t="n">
        <v>2</v>
      </c>
      <c r="I302" t="n">
        <v>0</v>
      </c>
      <c r="J302" t="n">
        <v>0</v>
      </c>
      <c r="K302" t="n">
        <v>0</v>
      </c>
      <c r="L302" t="n">
        <v>3</v>
      </c>
      <c r="M302" t="n">
        <v>3</v>
      </c>
      <c r="N302" t="n">
        <v>0</v>
      </c>
      <c r="O302" t="n">
        <v>0</v>
      </c>
      <c r="P302" s="7">
        <f>IF(SUM(H302:K302)=0,"",H302/SUM(H302:K302))</f>
        <v/>
      </c>
      <c r="Q302" s="7">
        <f>IF(SUM(H302:K302)=0,"",I302/SUM(H302:K302))</f>
        <v/>
      </c>
      <c r="R302" s="7">
        <f>IF(SUM(H302:K302)=0,"",J302/SUM(H302:K302))</f>
        <v/>
      </c>
      <c r="S302" s="7">
        <f>IF(SUM(H302:K302)=0,"",K302/SUM(H302:K302))</f>
        <v/>
      </c>
      <c r="T302" s="7">
        <f>IF(SUM(L302:O302)=0,"",L302/SUM(L302:O302))</f>
        <v/>
      </c>
      <c r="U302" s="7">
        <f>IF(SUM(L302:O302)=0,"",M302/SUM(L302:O302))</f>
        <v/>
      </c>
      <c r="V302" s="7">
        <f>IF(SUM(L302:O302)=0,"",N302/SUM(L302:O302))</f>
        <v/>
      </c>
      <c r="W302" s="7">
        <f>IF(SUM(L302:O302)=0,"",O302/SUM(L302:O302))</f>
        <v/>
      </c>
    </row>
    <row r="303">
      <c r="A303" t="n">
        <v>335</v>
      </c>
      <c r="B303" t="inlineStr">
        <is>
          <t>The goal of the Legacy Society is to recognize and honor members for their</t>
        </is>
      </c>
      <c r="C303" t="n">
        <v>0</v>
      </c>
      <c r="D303" t="n">
        <v>2</v>
      </c>
      <c r="E303" t="n">
        <v>0</v>
      </c>
      <c r="F303" t="n">
        <v>0</v>
      </c>
      <c r="G303" t="b">
        <v>0</v>
      </c>
      <c r="H303" t="n">
        <v>0</v>
      </c>
      <c r="I303" t="n">
        <v>0</v>
      </c>
      <c r="J303" t="n">
        <v>0</v>
      </c>
      <c r="K303" t="n">
        <v>0</v>
      </c>
      <c r="L303" t="n">
        <v>2</v>
      </c>
      <c r="M303" t="n">
        <v>4</v>
      </c>
      <c r="N303" t="n">
        <v>0</v>
      </c>
      <c r="O303" t="n">
        <v>0</v>
      </c>
      <c r="P303" s="7">
        <f>IF(SUM(H303:K303)=0,"",H303/SUM(H303:K303))</f>
        <v/>
      </c>
      <c r="Q303" s="7">
        <f>IF(SUM(H303:K303)=0,"",I303/SUM(H303:K303))</f>
        <v/>
      </c>
      <c r="R303" s="7">
        <f>IF(SUM(H303:K303)=0,"",J303/SUM(H303:K303))</f>
        <v/>
      </c>
      <c r="S303" s="7">
        <f>IF(SUM(H303:K303)=0,"",K303/SUM(H303:K303))</f>
        <v/>
      </c>
      <c r="T303" s="7">
        <f>IF(SUM(L303:O303)=0,"",L303/SUM(L303:O303))</f>
        <v/>
      </c>
      <c r="U303" s="7">
        <f>IF(SUM(L303:O303)=0,"",M303/SUM(L303:O303))</f>
        <v/>
      </c>
      <c r="V303" s="7">
        <f>IF(SUM(L303:O303)=0,"",N303/SUM(L303:O303))</f>
        <v/>
      </c>
      <c r="W303" s="7">
        <f>IF(SUM(L303:O303)=0,"",O303/SUM(L303:O303))</f>
        <v/>
      </c>
    </row>
    <row r="304">
      <c r="A304" t="n">
        <v>336</v>
      </c>
      <c r="B304" t="inlineStr">
        <is>
          <t>[individual_tag] [individual_tag] * [individual_tag] * [individual_tag]* [individual_tag] * [individual_tag]* [individual_tag]* [individual_tag]* and [individual_tag]* [individual_tag]* and [individual_tag]* [individual_tag]* and [individual_tag]* [individual_tag] [individual_tag] and [individual_tag] [individual_tag]* [individual_tag]* [individual_tag]* [individual_tag]* [individual_tag] and [individual_tag] [individual_tag] [individual_tag]* and [individual_tag]* [individual_tag] and [individual_tag] [individual_tag]* and [individual_tag]* [individual_tag]* [individual_tag]* [individual_tag] and [individual_tag] [individual_tag]* [individual_tag]* and [individual_tag]* [individual_tag] [individual_tag]* [individual_tag]* [individual_tag] and [individual_tag] [individual_tag] and [individual_tag] [individual_tag] and [individual_tag] [individual_tag] * [individual_tag]* [individual_tag] and [individual_tag] [individual_tag] [individual_tag] and [individual_tag] [individual_tag]* and [individual_tag]* [individual_tag]* [individual_tag] and [individual_tag] [individual_tag]* [individual_tag] and [individual_tag] [individual_tag]* and [individual_tag] [individual_tag]* and [individual_tag]* [individual_tag] [individual_tag]* [individual_tag]* and [individual_tag]* [individual_tag] Dr. [individual_tag]* and [individual_tag]* [individual_tag] and *[individual_tag] [individual_tag]* [individual_tag] and [individual_tag] [individual_tag]*. and [individual_tag] [individual_tag] [individual_tag] and [individual_tag] [individual_tag] * [individual_tag]* [individual_tag] and [individual_tag] [individual_tag] [individual_tag] [individual_tag]* [individual_tag] and [individual_tag] [individual_tag]* [individual_tag] [individual_tag] and [individual_tag] [individual_tag] [individual_tag]* and [individual_tag]* [individual_tag]* and [individual_tag] [individual_tag] and [individual_tag] [individual_tag] and [individual_tag] [individual_tag] [individual_tag] [individual_tag]* [individual_tag] &amp;amp; [individual_tag] [individual_tag] and [individual_tag] [individual_tag] [individual_tag] * [individual_tag] * [individual_tag] and [individual_tag] [individual_tag] * [individual_tag]* [individual_tag] * [individual_tag]* and [individual_tag]* [individual_tag] and [individual_tag] [individual_tag]* [individual_tag]* and [individual_tag]* [individual_tag]* [individual_tag]* and [individual_tag] [individual_tag]* [individual_tag]* [individual_tag] [individual_tag]* [individual_tag] [individual_tag] and [individual_tag] [individual_tag] and [individual_tag] [individual_tag] * [individual_tag]* and [individual_tag]* [individual_tag] * [individual_tag] [individual_tag]* [individual_tag] and [individual_tag] [individual_tag] and [individual_tag] *DECEASED foresight, dedication, and philanthropic spirit.</t>
        </is>
      </c>
      <c r="C304" t="n">
        <v>0</v>
      </c>
      <c r="D304" t="n">
        <v>1</v>
      </c>
      <c r="E304" t="n">
        <v>0</v>
      </c>
      <c r="F304" t="n">
        <v>0</v>
      </c>
      <c r="G304" t="b">
        <v>0</v>
      </c>
      <c r="H304" t="n">
        <v>0</v>
      </c>
      <c r="I304" t="n">
        <v>0</v>
      </c>
      <c r="J304" t="n">
        <v>0</v>
      </c>
      <c r="K304" t="n">
        <v>0</v>
      </c>
      <c r="L304" t="n">
        <v>1</v>
      </c>
      <c r="M304" t="n">
        <v>2</v>
      </c>
      <c r="N304" t="n">
        <v>0</v>
      </c>
      <c r="O304" t="n">
        <v>0</v>
      </c>
      <c r="P304" s="7">
        <f>IF(SUM(H304:K304)=0,"",H304/SUM(H304:K304))</f>
        <v/>
      </c>
      <c r="Q304" s="7">
        <f>IF(SUM(H304:K304)=0,"",I304/SUM(H304:K304))</f>
        <v/>
      </c>
      <c r="R304" s="7">
        <f>IF(SUM(H304:K304)=0,"",J304/SUM(H304:K304))</f>
        <v/>
      </c>
      <c r="S304" s="7">
        <f>IF(SUM(H304:K304)=0,"",K304/SUM(H304:K304))</f>
        <v/>
      </c>
      <c r="T304" s="7">
        <f>IF(SUM(L304:O304)=0,"",L304/SUM(L304:O304))</f>
        <v/>
      </c>
      <c r="U304" s="7">
        <f>IF(SUM(L304:O304)=0,"",M304/SUM(L304:O304))</f>
        <v/>
      </c>
      <c r="V304" s="7">
        <f>IF(SUM(L304:O304)=0,"",N304/SUM(L304:O304))</f>
        <v/>
      </c>
      <c r="W304" s="7">
        <f>IF(SUM(L304:O304)=0,"",O304/SUM(L304:O304))</f>
        <v/>
      </c>
    </row>
    <row r="305">
      <c r="A305" t="n">
        <v>337</v>
      </c>
      <c r="B305" t="inlineStr">
        <is>
          <t>Planned giving does not require a large income or vast estate, only a thoughtful intention to make a difference in your community.</t>
        </is>
      </c>
      <c r="C305" t="n">
        <v>0</v>
      </c>
      <c r="D305" t="n">
        <v>1</v>
      </c>
      <c r="E305" t="n">
        <v>0</v>
      </c>
      <c r="F305" t="n">
        <v>0</v>
      </c>
      <c r="G305" t="b">
        <v>0</v>
      </c>
      <c r="H305" t="n">
        <v>0</v>
      </c>
      <c r="I305" t="n">
        <v>0</v>
      </c>
      <c r="J305" t="n">
        <v>0</v>
      </c>
      <c r="K305" t="n">
        <v>0</v>
      </c>
      <c r="L305" t="n">
        <v>2</v>
      </c>
      <c r="M305" t="n">
        <v>1</v>
      </c>
      <c r="N305" t="n">
        <v>0</v>
      </c>
      <c r="O305" t="n">
        <v>0</v>
      </c>
      <c r="P305" s="7">
        <f>IF(SUM(H305:K305)=0,"",H305/SUM(H305:K305))</f>
        <v/>
      </c>
      <c r="Q305" s="7">
        <f>IF(SUM(H305:K305)=0,"",I305/SUM(H305:K305))</f>
        <v/>
      </c>
      <c r="R305" s="7">
        <f>IF(SUM(H305:K305)=0,"",J305/SUM(H305:K305))</f>
        <v/>
      </c>
      <c r="S305" s="7">
        <f>IF(SUM(H305:K305)=0,"",K305/SUM(H305:K305))</f>
        <v/>
      </c>
      <c r="T305" s="7">
        <f>IF(SUM(L305:O305)=0,"",L305/SUM(L305:O305))</f>
        <v/>
      </c>
      <c r="U305" s="7">
        <f>IF(SUM(L305:O305)=0,"",M305/SUM(L305:O305))</f>
        <v/>
      </c>
      <c r="V305" s="7">
        <f>IF(SUM(L305:O305)=0,"",N305/SUM(L305:O305))</f>
        <v/>
      </c>
      <c r="W305" s="7">
        <f>IF(SUM(L305:O305)=0,"",O305/SUM(L305:O305))</f>
        <v/>
      </c>
    </row>
    <row r="306">
      <c r="A306" t="n">
        <v>338</v>
      </c>
      <c r="B306" t="inlineStr">
        <is>
          <t>To learn more about the Legacy Society, contact [community_foundation_tag] at 989-839-9661.</t>
        </is>
      </c>
      <c r="C306" t="n">
        <v>0</v>
      </c>
      <c r="D306" t="n">
        <v>1</v>
      </c>
      <c r="E306" t="n">
        <v>0</v>
      </c>
      <c r="F306" t="n">
        <v>0</v>
      </c>
      <c r="G306" t="b">
        <v>0</v>
      </c>
      <c r="H306" t="n">
        <v>0</v>
      </c>
      <c r="I306" t="n">
        <v>0</v>
      </c>
      <c r="J306" t="n">
        <v>0</v>
      </c>
      <c r="K306" t="n">
        <v>0</v>
      </c>
      <c r="L306" t="n">
        <v>1</v>
      </c>
      <c r="M306" t="n">
        <v>2</v>
      </c>
      <c r="N306" t="n">
        <v>0</v>
      </c>
      <c r="O306" t="n">
        <v>0</v>
      </c>
      <c r="P306" s="7">
        <f>IF(SUM(H306:K306)=0,"",H306/SUM(H306:K306))</f>
        <v/>
      </c>
      <c r="Q306" s="7">
        <f>IF(SUM(H306:K306)=0,"",I306/SUM(H306:K306))</f>
        <v/>
      </c>
      <c r="R306" s="7">
        <f>IF(SUM(H306:K306)=0,"",J306/SUM(H306:K306))</f>
        <v/>
      </c>
      <c r="S306" s="7">
        <f>IF(SUM(H306:K306)=0,"",K306/SUM(H306:K306))</f>
        <v/>
      </c>
      <c r="T306" s="7">
        <f>IF(SUM(L306:O306)=0,"",L306/SUM(L306:O306))</f>
        <v/>
      </c>
      <c r="U306" s="7">
        <f>IF(SUM(L306:O306)=0,"",M306/SUM(L306:O306))</f>
        <v/>
      </c>
      <c r="V306" s="7">
        <f>IF(SUM(L306:O306)=0,"",N306/SUM(L306:O306))</f>
        <v/>
      </c>
      <c r="W306" s="7">
        <f>IF(SUM(L306:O306)=0,"",O306/SUM(L306:O306))</f>
        <v/>
      </c>
    </row>
    <row r="307">
      <c r="A307" t="n">
        <v>343</v>
      </c>
      <c r="B307" t="inlineStr">
        <is>
          <t>Net Assets</t>
        </is>
      </c>
      <c r="C307" t="n">
        <v>0</v>
      </c>
      <c r="D307" t="n">
        <v>1</v>
      </c>
      <c r="E307" t="n">
        <v>0</v>
      </c>
      <c r="F307" t="n">
        <v>0</v>
      </c>
      <c r="G307" t="b">
        <v>0</v>
      </c>
      <c r="H307" t="n">
        <v>0</v>
      </c>
      <c r="I307" t="n">
        <v>0</v>
      </c>
      <c r="J307" t="n">
        <v>0</v>
      </c>
      <c r="K307" t="n">
        <v>0</v>
      </c>
      <c r="L307" t="n">
        <v>2</v>
      </c>
      <c r="M307" t="n">
        <v>1</v>
      </c>
      <c r="N307" t="n">
        <v>0</v>
      </c>
      <c r="O307" t="n">
        <v>0</v>
      </c>
      <c r="P307" s="7">
        <f>IF(SUM(H307:K307)=0,"",H307/SUM(H307:K307))</f>
        <v/>
      </c>
      <c r="Q307" s="7">
        <f>IF(SUM(H307:K307)=0,"",I307/SUM(H307:K307))</f>
        <v/>
      </c>
      <c r="R307" s="7">
        <f>IF(SUM(H307:K307)=0,"",J307/SUM(H307:K307))</f>
        <v/>
      </c>
      <c r="S307" s="7">
        <f>IF(SUM(H307:K307)=0,"",K307/SUM(H307:K307))</f>
        <v/>
      </c>
      <c r="T307" s="7">
        <f>IF(SUM(L307:O307)=0,"",L307/SUM(L307:O307))</f>
        <v/>
      </c>
      <c r="U307" s="7">
        <f>IF(SUM(L307:O307)=0,"",M307/SUM(L307:O307))</f>
        <v/>
      </c>
      <c r="V307" s="7">
        <f>IF(SUM(L307:O307)=0,"",N307/SUM(L307:O307))</f>
        <v/>
      </c>
      <c r="W307" s="7">
        <f>IF(SUM(L307:O307)=0,"",O307/SUM(L307:O307))</f>
        <v/>
      </c>
    </row>
    <row r="308">
      <c r="A308" t="n">
        <v>349</v>
      </c>
      <c r="B308" t="inlineStr">
        <is>
          <t>President &amp;amp; CEO</t>
        </is>
      </c>
      <c r="C308" t="n">
        <v>0</v>
      </c>
      <c r="D308" t="n">
        <v>0</v>
      </c>
      <c r="E308" t="n">
        <v>0</v>
      </c>
      <c r="F308" t="n">
        <v>0</v>
      </c>
      <c r="G308" t="b">
        <v>0</v>
      </c>
      <c r="H308" t="n">
        <v>0</v>
      </c>
      <c r="I308" t="n">
        <v>0</v>
      </c>
      <c r="J308" t="n">
        <v>0</v>
      </c>
      <c r="K308" t="n">
        <v>0</v>
      </c>
      <c r="L308" t="n">
        <v>0</v>
      </c>
      <c r="M308" t="n">
        <v>0</v>
      </c>
      <c r="N308" t="n">
        <v>0</v>
      </c>
      <c r="O308" t="n">
        <v>0</v>
      </c>
      <c r="P308" s="7">
        <f>IF(SUM(H308:K308)=0,"",H308/SUM(H308:K308))</f>
        <v/>
      </c>
      <c r="Q308" s="7">
        <f>IF(SUM(H308:K308)=0,"",I308/SUM(H308:K308))</f>
        <v/>
      </c>
      <c r="R308" s="7">
        <f>IF(SUM(H308:K308)=0,"",J308/SUM(H308:K308))</f>
        <v/>
      </c>
      <c r="S308" s="7">
        <f>IF(SUM(H308:K308)=0,"",K308/SUM(H308:K308))</f>
        <v/>
      </c>
      <c r="T308" s="7">
        <f>IF(SUM(L308:O308)=0,"",L308/SUM(L308:O308))</f>
        <v/>
      </c>
      <c r="U308" s="7">
        <f>IF(SUM(L308:O308)=0,"",M308/SUM(L308:O308))</f>
        <v/>
      </c>
      <c r="V308" s="7">
        <f>IF(SUM(L308:O308)=0,"",N308/SUM(L308:O308))</f>
        <v/>
      </c>
      <c r="W308" s="7">
        <f>IF(SUM(L308:O308)=0,"",O308/SUM(L308:O308))</f>
        <v/>
      </c>
    </row>
    <row r="309">
      <c r="A309" t="n">
        <v>351</v>
      </c>
      <c r="B309" t="inlineStr">
        <is>
          <t>Chief Financial Officer</t>
        </is>
      </c>
      <c r="C309" t="n">
        <v>0</v>
      </c>
      <c r="D309" t="n">
        <v>0</v>
      </c>
      <c r="E309" t="n">
        <v>0</v>
      </c>
      <c r="F309" t="n">
        <v>0</v>
      </c>
      <c r="G309" t="b">
        <v>0</v>
      </c>
      <c r="H309" t="n">
        <v>0</v>
      </c>
      <c r="I309" t="n">
        <v>0</v>
      </c>
      <c r="J309" t="n">
        <v>0</v>
      </c>
      <c r="K309" t="n">
        <v>0</v>
      </c>
      <c r="L309" t="n">
        <v>0</v>
      </c>
      <c r="M309" t="n">
        <v>0</v>
      </c>
      <c r="N309" t="n">
        <v>0</v>
      </c>
      <c r="O309" t="n">
        <v>0</v>
      </c>
      <c r="P309" s="7">
        <f>IF(SUM(H309:K309)=0,"",H309/SUM(H309:K309))</f>
        <v/>
      </c>
      <c r="Q309" s="7">
        <f>IF(SUM(H309:K309)=0,"",I309/SUM(H309:K309))</f>
        <v/>
      </c>
      <c r="R309" s="7">
        <f>IF(SUM(H309:K309)=0,"",J309/SUM(H309:K309))</f>
        <v/>
      </c>
      <c r="S309" s="7">
        <f>IF(SUM(H309:K309)=0,"",K309/SUM(H309:K309))</f>
        <v/>
      </c>
      <c r="T309" s="7">
        <f>IF(SUM(L309:O309)=0,"",L309/SUM(L309:O309))</f>
        <v/>
      </c>
      <c r="U309" s="7">
        <f>IF(SUM(L309:O309)=0,"",M309/SUM(L309:O309))</f>
        <v/>
      </c>
      <c r="V309" s="7">
        <f>IF(SUM(L309:O309)=0,"",N309/SUM(L309:O309))</f>
        <v/>
      </c>
      <c r="W309" s="7">
        <f>IF(SUM(L309:O309)=0,"",O309/SUM(L309:O309))</f>
        <v/>
      </c>
    </row>
    <row r="310">
      <c r="A310" t="n">
        <v>353</v>
      </c>
      <c r="B310" t="inlineStr">
        <is>
          <t>Director of Community Impact</t>
        </is>
      </c>
      <c r="C310" t="n">
        <v>0</v>
      </c>
      <c r="D310" t="n">
        <v>0</v>
      </c>
      <c r="E310" t="n">
        <v>0</v>
      </c>
      <c r="F310" t="n">
        <v>0</v>
      </c>
      <c r="G310" t="b">
        <v>0</v>
      </c>
      <c r="H310" t="n">
        <v>0</v>
      </c>
      <c r="I310" t="n">
        <v>0</v>
      </c>
      <c r="J310" t="n">
        <v>0</v>
      </c>
      <c r="K310" t="n">
        <v>0</v>
      </c>
      <c r="L310" t="n">
        <v>0</v>
      </c>
      <c r="M310" t="n">
        <v>0</v>
      </c>
      <c r="N310" t="n">
        <v>0</v>
      </c>
      <c r="O310" t="n">
        <v>0</v>
      </c>
      <c r="P310" s="7">
        <f>IF(SUM(H310:K310)=0,"",H310/SUM(H310:K310))</f>
        <v/>
      </c>
      <c r="Q310" s="7">
        <f>IF(SUM(H310:K310)=0,"",I310/SUM(H310:K310))</f>
        <v/>
      </c>
      <c r="R310" s="7">
        <f>IF(SUM(H310:K310)=0,"",J310/SUM(H310:K310))</f>
        <v/>
      </c>
      <c r="S310" s="7">
        <f>IF(SUM(H310:K310)=0,"",K310/SUM(H310:K310))</f>
        <v/>
      </c>
      <c r="T310" s="7">
        <f>IF(SUM(L310:O310)=0,"",L310/SUM(L310:O310))</f>
        <v/>
      </c>
      <c r="U310" s="7">
        <f>IF(SUM(L310:O310)=0,"",M310/SUM(L310:O310))</f>
        <v/>
      </c>
      <c r="V310" s="7">
        <f>IF(SUM(L310:O310)=0,"",N310/SUM(L310:O310))</f>
        <v/>
      </c>
      <c r="W310" s="7">
        <f>IF(SUM(L310:O310)=0,"",O310/SUM(L310:O310))</f>
        <v/>
      </c>
    </row>
    <row r="311">
      <c r="A311" t="n">
        <v>355</v>
      </c>
      <c r="B311" t="inlineStr">
        <is>
          <t>Director of Development</t>
        </is>
      </c>
      <c r="C311" t="n">
        <v>0</v>
      </c>
      <c r="D311" t="n">
        <v>0</v>
      </c>
      <c r="E311" t="n">
        <v>0</v>
      </c>
      <c r="F311" t="n">
        <v>0</v>
      </c>
      <c r="G311" t="b">
        <v>0</v>
      </c>
      <c r="H311" t="n">
        <v>0</v>
      </c>
      <c r="I311" t="n">
        <v>0</v>
      </c>
      <c r="J311" t="n">
        <v>0</v>
      </c>
      <c r="K311" t="n">
        <v>0</v>
      </c>
      <c r="L311" t="n">
        <v>0</v>
      </c>
      <c r="M311" t="n">
        <v>0</v>
      </c>
      <c r="N311" t="n">
        <v>0</v>
      </c>
      <c r="O311" t="n">
        <v>0</v>
      </c>
      <c r="P311" s="7">
        <f>IF(SUM(H311:K311)=0,"",H311/SUM(H311:K311))</f>
        <v/>
      </c>
      <c r="Q311" s="7">
        <f>IF(SUM(H311:K311)=0,"",I311/SUM(H311:K311))</f>
        <v/>
      </c>
      <c r="R311" s="7">
        <f>IF(SUM(H311:K311)=0,"",J311/SUM(H311:K311))</f>
        <v/>
      </c>
      <c r="S311" s="7">
        <f>IF(SUM(H311:K311)=0,"",K311/SUM(H311:K311))</f>
        <v/>
      </c>
      <c r="T311" s="7">
        <f>IF(SUM(L311:O311)=0,"",L311/SUM(L311:O311))</f>
        <v/>
      </c>
      <c r="U311" s="7">
        <f>IF(SUM(L311:O311)=0,"",M311/SUM(L311:O311))</f>
        <v/>
      </c>
      <c r="V311" s="7">
        <f>IF(SUM(L311:O311)=0,"",N311/SUM(L311:O311))</f>
        <v/>
      </c>
      <c r="W311" s="7">
        <f>IF(SUM(L311:O311)=0,"",O311/SUM(L311:O311))</f>
        <v/>
      </c>
    </row>
    <row r="312">
      <c r="A312" t="n">
        <v>357</v>
      </c>
      <c r="B312" t="inlineStr">
        <is>
          <t>Scholarship Coordinator &amp;amp; Impact Assistant</t>
        </is>
      </c>
      <c r="C312" t="n">
        <v>0</v>
      </c>
      <c r="D312" t="n">
        <v>0</v>
      </c>
      <c r="E312" t="n">
        <v>0</v>
      </c>
      <c r="F312" t="n">
        <v>0</v>
      </c>
      <c r="G312" t="b">
        <v>0</v>
      </c>
      <c r="H312" t="n">
        <v>0</v>
      </c>
      <c r="I312" t="n">
        <v>0</v>
      </c>
      <c r="J312" t="n">
        <v>0</v>
      </c>
      <c r="K312" t="n">
        <v>0</v>
      </c>
      <c r="L312" t="n">
        <v>0</v>
      </c>
      <c r="M312" t="n">
        <v>0</v>
      </c>
      <c r="N312" t="n">
        <v>0</v>
      </c>
      <c r="O312" t="n">
        <v>0</v>
      </c>
      <c r="P312" s="7">
        <f>IF(SUM(H312:K312)=0,"",H312/SUM(H312:K312))</f>
        <v/>
      </c>
      <c r="Q312" s="7">
        <f>IF(SUM(H312:K312)=0,"",I312/SUM(H312:K312))</f>
        <v/>
      </c>
      <c r="R312" s="7">
        <f>IF(SUM(H312:K312)=0,"",J312/SUM(H312:K312))</f>
        <v/>
      </c>
      <c r="S312" s="7">
        <f>IF(SUM(H312:K312)=0,"",K312/SUM(H312:K312))</f>
        <v/>
      </c>
      <c r="T312" s="7">
        <f>IF(SUM(L312:O312)=0,"",L312/SUM(L312:O312))</f>
        <v/>
      </c>
      <c r="U312" s="7">
        <f>IF(SUM(L312:O312)=0,"",M312/SUM(L312:O312))</f>
        <v/>
      </c>
      <c r="V312" s="7">
        <f>IF(SUM(L312:O312)=0,"",N312/SUM(L312:O312))</f>
        <v/>
      </c>
      <c r="W312" s="7">
        <f>IF(SUM(L312:O312)=0,"",O312/SUM(L312:O312))</f>
        <v/>
      </c>
    </row>
    <row r="313">
      <c r="A313" t="n">
        <v>359</v>
      </c>
      <c r="B313" t="inlineStr">
        <is>
          <t>Administrative &amp;amp; Development Assistant</t>
        </is>
      </c>
      <c r="C313" t="n">
        <v>0</v>
      </c>
      <c r="D313" t="n">
        <v>0</v>
      </c>
      <c r="E313" t="n">
        <v>0</v>
      </c>
      <c r="F313" t="n">
        <v>0</v>
      </c>
      <c r="G313" t="b">
        <v>0</v>
      </c>
      <c r="H313" t="n">
        <v>0</v>
      </c>
      <c r="I313" t="n">
        <v>0</v>
      </c>
      <c r="J313" t="n">
        <v>0</v>
      </c>
      <c r="K313" t="n">
        <v>0</v>
      </c>
      <c r="L313" t="n">
        <v>0</v>
      </c>
      <c r="M313" t="n">
        <v>0</v>
      </c>
      <c r="N313" t="n">
        <v>0</v>
      </c>
      <c r="O313" t="n">
        <v>0</v>
      </c>
      <c r="P313" s="7">
        <f>IF(SUM(H313:K313)=0,"",H313/SUM(H313:K313))</f>
        <v/>
      </c>
      <c r="Q313" s="7">
        <f>IF(SUM(H313:K313)=0,"",I313/SUM(H313:K313))</f>
        <v/>
      </c>
      <c r="R313" s="7">
        <f>IF(SUM(H313:K313)=0,"",J313/SUM(H313:K313))</f>
        <v/>
      </c>
      <c r="S313" s="7">
        <f>IF(SUM(H313:K313)=0,"",K313/SUM(H313:K313))</f>
        <v/>
      </c>
      <c r="T313" s="7">
        <f>IF(SUM(L313:O313)=0,"",L313/SUM(L313:O313))</f>
        <v/>
      </c>
      <c r="U313" s="7">
        <f>IF(SUM(L313:O313)=0,"",M313/SUM(L313:O313))</f>
        <v/>
      </c>
      <c r="V313" s="7">
        <f>IF(SUM(L313:O313)=0,"",N313/SUM(L313:O313))</f>
        <v/>
      </c>
      <c r="W313" s="7">
        <f>IF(SUM(L313:O313)=0,"",O313/SUM(L313:O313))</f>
        <v/>
      </c>
    </row>
    <row r="314">
      <c r="A314" t="n">
        <v>361</v>
      </c>
      <c r="B314" t="inlineStr">
        <is>
          <t>Communications Officer</t>
        </is>
      </c>
      <c r="C314" t="n">
        <v>0</v>
      </c>
      <c r="D314" t="n">
        <v>0</v>
      </c>
      <c r="E314" t="n">
        <v>0</v>
      </c>
      <c r="F314" t="n">
        <v>0</v>
      </c>
      <c r="G314" t="b">
        <v>0</v>
      </c>
      <c r="H314" t="n">
        <v>0</v>
      </c>
      <c r="I314" t="n">
        <v>0</v>
      </c>
      <c r="J314" t="n">
        <v>0</v>
      </c>
      <c r="K314" t="n">
        <v>0</v>
      </c>
      <c r="L314" t="n">
        <v>0</v>
      </c>
      <c r="M314" t="n">
        <v>0</v>
      </c>
      <c r="N314" t="n">
        <v>0</v>
      </c>
      <c r="O314" t="n">
        <v>0</v>
      </c>
      <c r="P314" s="7">
        <f>IF(SUM(H314:K314)=0,"",H314/SUM(H314:K314))</f>
        <v/>
      </c>
      <c r="Q314" s="7">
        <f>IF(SUM(H314:K314)=0,"",I314/SUM(H314:K314))</f>
        <v/>
      </c>
      <c r="R314" s="7">
        <f>IF(SUM(H314:K314)=0,"",J314/SUM(H314:K314))</f>
        <v/>
      </c>
      <c r="S314" s="7">
        <f>IF(SUM(H314:K314)=0,"",K314/SUM(H314:K314))</f>
        <v/>
      </c>
      <c r="T314" s="7">
        <f>IF(SUM(L314:O314)=0,"",L314/SUM(L314:O314))</f>
        <v/>
      </c>
      <c r="U314" s="7">
        <f>IF(SUM(L314:O314)=0,"",M314/SUM(L314:O314))</f>
        <v/>
      </c>
      <c r="V314" s="7">
        <f>IF(SUM(L314:O314)=0,"",N314/SUM(L314:O314))</f>
        <v/>
      </c>
      <c r="W314" s="7">
        <f>IF(SUM(L314:O314)=0,"",O314/SUM(L314:O314))</f>
        <v/>
      </c>
    </row>
    <row r="315">
      <c r="A315" t="n">
        <v>363</v>
      </c>
      <c r="B315" t="inlineStr">
        <is>
          <t>Executive Assistant</t>
        </is>
      </c>
      <c r="C315" t="n">
        <v>0</v>
      </c>
      <c r="D315" t="n">
        <v>0</v>
      </c>
      <c r="E315" t="n">
        <v>0</v>
      </c>
      <c r="F315" t="n">
        <v>0</v>
      </c>
      <c r="G315" t="b">
        <v>0</v>
      </c>
      <c r="H315" t="n">
        <v>0</v>
      </c>
      <c r="I315" t="n">
        <v>0</v>
      </c>
      <c r="J315" t="n">
        <v>0</v>
      </c>
      <c r="K315" t="n">
        <v>0</v>
      </c>
      <c r="L315" t="n">
        <v>0</v>
      </c>
      <c r="M315" t="n">
        <v>0</v>
      </c>
      <c r="N315" t="n">
        <v>0</v>
      </c>
      <c r="O315" t="n">
        <v>0</v>
      </c>
      <c r="P315" s="7">
        <f>IF(SUM(H315:K315)=0,"",H315/SUM(H315:K315))</f>
        <v/>
      </c>
      <c r="Q315" s="7">
        <f>IF(SUM(H315:K315)=0,"",I315/SUM(H315:K315))</f>
        <v/>
      </c>
      <c r="R315" s="7">
        <f>IF(SUM(H315:K315)=0,"",J315/SUM(H315:K315))</f>
        <v/>
      </c>
      <c r="S315" s="7">
        <f>IF(SUM(H315:K315)=0,"",K315/SUM(H315:K315))</f>
        <v/>
      </c>
      <c r="T315" s="7">
        <f>IF(SUM(L315:O315)=0,"",L315/SUM(L315:O315))</f>
        <v/>
      </c>
      <c r="U315" s="7">
        <f>IF(SUM(L315:O315)=0,"",M315/SUM(L315:O315))</f>
        <v/>
      </c>
      <c r="V315" s="7">
        <f>IF(SUM(L315:O315)=0,"",N315/SUM(L315:O315))</f>
        <v/>
      </c>
      <c r="W315" s="7">
        <f>IF(SUM(L315:O315)=0,"",O315/SUM(L315:O315))</f>
        <v/>
      </c>
    </row>
    <row r="316">
      <c r="A316" t="n">
        <v>365</v>
      </c>
      <c r="B316" t="inlineStr">
        <is>
          <t>Finance Manager</t>
        </is>
      </c>
      <c r="C316" t="n">
        <v>0</v>
      </c>
      <c r="D316" t="n">
        <v>0</v>
      </c>
      <c r="E316" t="n">
        <v>0</v>
      </c>
      <c r="F316" t="n">
        <v>0</v>
      </c>
      <c r="G316" t="b">
        <v>0</v>
      </c>
      <c r="H316" t="n">
        <v>0</v>
      </c>
      <c r="I316" t="n">
        <v>0</v>
      </c>
      <c r="J316" t="n">
        <v>0</v>
      </c>
      <c r="K316" t="n">
        <v>0</v>
      </c>
      <c r="L316" t="n">
        <v>0</v>
      </c>
      <c r="M316" t="n">
        <v>0</v>
      </c>
      <c r="N316" t="n">
        <v>0</v>
      </c>
      <c r="O316" t="n">
        <v>0</v>
      </c>
      <c r="P316" s="7">
        <f>IF(SUM(H316:K316)=0,"",H316/SUM(H316:K316))</f>
        <v/>
      </c>
      <c r="Q316" s="7">
        <f>IF(SUM(H316:K316)=0,"",I316/SUM(H316:K316))</f>
        <v/>
      </c>
      <c r="R316" s="7">
        <f>IF(SUM(H316:K316)=0,"",J316/SUM(H316:K316))</f>
        <v/>
      </c>
      <c r="S316" s="7">
        <f>IF(SUM(H316:K316)=0,"",K316/SUM(H316:K316))</f>
        <v/>
      </c>
      <c r="T316" s="7">
        <f>IF(SUM(L316:O316)=0,"",L316/SUM(L316:O316))</f>
        <v/>
      </c>
      <c r="U316" s="7">
        <f>IF(SUM(L316:O316)=0,"",M316/SUM(L316:O316))</f>
        <v/>
      </c>
      <c r="V316" s="7">
        <f>IF(SUM(L316:O316)=0,"",N316/SUM(L316:O316))</f>
        <v/>
      </c>
      <c r="W316" s="7">
        <f>IF(SUM(L316:O316)=0,"",O316/SUM(L316:O316))</f>
        <v/>
      </c>
    </row>
    <row r="317">
      <c r="A317" t="n">
        <v>367</v>
      </c>
      <c r="B317" t="inlineStr">
        <is>
          <t>Postsecondary Education Leader</t>
        </is>
      </c>
      <c r="C317" t="n">
        <v>0</v>
      </c>
      <c r="D317" t="n">
        <v>0</v>
      </c>
      <c r="E317" t="n">
        <v>0</v>
      </c>
      <c r="F317" t="n">
        <v>0</v>
      </c>
      <c r="G317" t="b">
        <v>0</v>
      </c>
      <c r="H317" t="n">
        <v>0</v>
      </c>
      <c r="I317" t="n">
        <v>0</v>
      </c>
      <c r="J317" t="n">
        <v>0</v>
      </c>
      <c r="K317" t="n">
        <v>0</v>
      </c>
      <c r="L317" t="n">
        <v>0</v>
      </c>
      <c r="M317" t="n">
        <v>0</v>
      </c>
      <c r="N317" t="n">
        <v>0</v>
      </c>
      <c r="O317" t="n">
        <v>0</v>
      </c>
      <c r="P317" s="7">
        <f>IF(SUM(H317:K317)=0,"",H317/SUM(H317:K317))</f>
        <v/>
      </c>
      <c r="Q317" s="7">
        <f>IF(SUM(H317:K317)=0,"",I317/SUM(H317:K317))</f>
        <v/>
      </c>
      <c r="R317" s="7">
        <f>IF(SUM(H317:K317)=0,"",J317/SUM(H317:K317))</f>
        <v/>
      </c>
      <c r="S317" s="7">
        <f>IF(SUM(H317:K317)=0,"",K317/SUM(H317:K317))</f>
        <v/>
      </c>
      <c r="T317" s="7">
        <f>IF(SUM(L317:O317)=0,"",L317/SUM(L317:O317))</f>
        <v/>
      </c>
      <c r="U317" s="7">
        <f>IF(SUM(L317:O317)=0,"",M317/SUM(L317:O317))</f>
        <v/>
      </c>
      <c r="V317" s="7">
        <f>IF(SUM(L317:O317)=0,"",N317/SUM(L317:O317))</f>
        <v/>
      </c>
      <c r="W317" s="7">
        <f>IF(SUM(L317:O317)=0,"",O317/SUM(L317:O317))</f>
        <v/>
      </c>
    </row>
    <row r="318">
      <c r="A318" t="n">
        <v>369</v>
      </c>
      <c r="B318" t="inlineStr">
        <is>
          <t>Youth Impact Coordinator</t>
        </is>
      </c>
      <c r="C318" t="n">
        <v>0</v>
      </c>
      <c r="D318" t="n">
        <v>0</v>
      </c>
      <c r="E318" t="n">
        <v>0</v>
      </c>
      <c r="F318" t="n">
        <v>0</v>
      </c>
      <c r="G318" t="b">
        <v>0</v>
      </c>
      <c r="H318" t="n">
        <v>0</v>
      </c>
      <c r="I318" t="n">
        <v>0</v>
      </c>
      <c r="J318" t="n">
        <v>0</v>
      </c>
      <c r="K318" t="n">
        <v>0</v>
      </c>
      <c r="L318" t="n">
        <v>0</v>
      </c>
      <c r="M318" t="n">
        <v>0</v>
      </c>
      <c r="N318" t="n">
        <v>0</v>
      </c>
      <c r="O318" t="n">
        <v>0</v>
      </c>
      <c r="P318" s="7">
        <f>IF(SUM(H318:K318)=0,"",H318/SUM(H318:K318))</f>
        <v/>
      </c>
      <c r="Q318" s="7">
        <f>IF(SUM(H318:K318)=0,"",I318/SUM(H318:K318))</f>
        <v/>
      </c>
      <c r="R318" s="7">
        <f>IF(SUM(H318:K318)=0,"",J318/SUM(H318:K318))</f>
        <v/>
      </c>
      <c r="S318" s="7">
        <f>IF(SUM(H318:K318)=0,"",K318/SUM(H318:K318))</f>
        <v/>
      </c>
      <c r="T318" s="7">
        <f>IF(SUM(L318:O318)=0,"",L318/SUM(L318:O318))</f>
        <v/>
      </c>
      <c r="U318" s="7">
        <f>IF(SUM(L318:O318)=0,"",M318/SUM(L318:O318))</f>
        <v/>
      </c>
      <c r="V318" s="7">
        <f>IF(SUM(L318:O318)=0,"",N318/SUM(L318:O318))</f>
        <v/>
      </c>
      <c r="W318" s="7">
        <f>IF(SUM(L318:O318)=0,"",O318/SUM(L318:O318))</f>
        <v/>
      </c>
    </row>
    <row r="319">
      <c r="A319" t="n">
        <v>370</v>
      </c>
      <c r="B319" t="inlineStr">
        <is>
          <t>[community_foundation_tag] Trustees</t>
        </is>
      </c>
      <c r="C319" t="n">
        <v>0</v>
      </c>
      <c r="D319" t="n">
        <v>1</v>
      </c>
      <c r="E319" t="n">
        <v>0</v>
      </c>
      <c r="F319" t="n">
        <v>0</v>
      </c>
      <c r="G319" t="b">
        <v>0</v>
      </c>
      <c r="H319" t="n">
        <v>0</v>
      </c>
      <c r="I319" t="n">
        <v>0</v>
      </c>
      <c r="J319" t="n">
        <v>0</v>
      </c>
      <c r="K319" t="n">
        <v>0</v>
      </c>
      <c r="L319" t="n">
        <v>2</v>
      </c>
      <c r="M319" t="n">
        <v>0</v>
      </c>
      <c r="N319" t="n">
        <v>1</v>
      </c>
      <c r="O319" t="n">
        <v>0</v>
      </c>
      <c r="P319" s="7">
        <f>IF(SUM(H319:K319)=0,"",H319/SUM(H319:K319))</f>
        <v/>
      </c>
      <c r="Q319" s="7">
        <f>IF(SUM(H319:K319)=0,"",I319/SUM(H319:K319))</f>
        <v/>
      </c>
      <c r="R319" s="7">
        <f>IF(SUM(H319:K319)=0,"",J319/SUM(H319:K319))</f>
        <v/>
      </c>
      <c r="S319" s="7">
        <f>IF(SUM(H319:K319)=0,"",K319/SUM(H319:K319))</f>
        <v/>
      </c>
      <c r="T319" s="7">
        <f>IF(SUM(L319:O319)=0,"",L319/SUM(L319:O319))</f>
        <v/>
      </c>
      <c r="U319" s="7">
        <f>IF(SUM(L319:O319)=0,"",M319/SUM(L319:O319))</f>
        <v/>
      </c>
      <c r="V319" s="7">
        <f>IF(SUM(L319:O319)=0,"",N319/SUM(L319:O319))</f>
        <v/>
      </c>
      <c r="W319" s="7">
        <f>IF(SUM(L319:O319)=0,"",O319/SUM(L319:O319))</f>
        <v/>
      </c>
    </row>
    <row r="320">
      <c r="A320" t="n">
        <v>372</v>
      </c>
      <c r="B320" t="inlineStr">
        <is>
          <t>Board Chair</t>
        </is>
      </c>
      <c r="C320" t="n">
        <v>0</v>
      </c>
      <c r="D320" t="n">
        <v>1</v>
      </c>
      <c r="E320" t="n">
        <v>0</v>
      </c>
      <c r="F320" t="n">
        <v>0</v>
      </c>
      <c r="G320" t="b">
        <v>0</v>
      </c>
      <c r="H320" t="n">
        <v>0</v>
      </c>
      <c r="I320" t="n">
        <v>0</v>
      </c>
      <c r="J320" t="n">
        <v>0</v>
      </c>
      <c r="K320" t="n">
        <v>0</v>
      </c>
      <c r="L320" t="n">
        <v>2</v>
      </c>
      <c r="M320" t="n">
        <v>0</v>
      </c>
      <c r="N320" t="n">
        <v>1</v>
      </c>
      <c r="O320" t="n">
        <v>0</v>
      </c>
      <c r="P320" s="7">
        <f>IF(SUM(H320:K320)=0,"",H320/SUM(H320:K320))</f>
        <v/>
      </c>
      <c r="Q320" s="7">
        <f>IF(SUM(H320:K320)=0,"",I320/SUM(H320:K320))</f>
        <v/>
      </c>
      <c r="R320" s="7">
        <f>IF(SUM(H320:K320)=0,"",J320/SUM(H320:K320))</f>
        <v/>
      </c>
      <c r="S320" s="7">
        <f>IF(SUM(H320:K320)=0,"",K320/SUM(H320:K320))</f>
        <v/>
      </c>
      <c r="T320" s="7">
        <f>IF(SUM(L320:O320)=0,"",L320/SUM(L320:O320))</f>
        <v/>
      </c>
      <c r="U320" s="7">
        <f>IF(SUM(L320:O320)=0,"",M320/SUM(L320:O320))</f>
        <v/>
      </c>
      <c r="V320" s="7">
        <f>IF(SUM(L320:O320)=0,"",N320/SUM(L320:O320))</f>
        <v/>
      </c>
      <c r="W320" s="7">
        <f>IF(SUM(L320:O320)=0,"",O320/SUM(L320:O320))</f>
        <v/>
      </c>
    </row>
    <row r="321">
      <c r="A321" t="n">
        <v>374</v>
      </c>
      <c r="B321" t="inlineStr">
        <is>
          <t>Vice Chair</t>
        </is>
      </c>
      <c r="C321" t="n">
        <v>0</v>
      </c>
      <c r="D321" t="n">
        <v>1</v>
      </c>
      <c r="E321" t="n">
        <v>0</v>
      </c>
      <c r="F321" t="n">
        <v>0</v>
      </c>
      <c r="G321" t="b">
        <v>0</v>
      </c>
      <c r="H321" t="n">
        <v>0</v>
      </c>
      <c r="I321" t="n">
        <v>0</v>
      </c>
      <c r="J321" t="n">
        <v>0</v>
      </c>
      <c r="K321" t="n">
        <v>0</v>
      </c>
      <c r="L321" t="n">
        <v>2</v>
      </c>
      <c r="M321" t="n">
        <v>0</v>
      </c>
      <c r="N321" t="n">
        <v>1</v>
      </c>
      <c r="O321" t="n">
        <v>0</v>
      </c>
      <c r="P321" s="7">
        <f>IF(SUM(H321:K321)=0,"",H321/SUM(H321:K321))</f>
        <v/>
      </c>
      <c r="Q321" s="7">
        <f>IF(SUM(H321:K321)=0,"",I321/SUM(H321:K321))</f>
        <v/>
      </c>
      <c r="R321" s="7">
        <f>IF(SUM(H321:K321)=0,"",J321/SUM(H321:K321))</f>
        <v/>
      </c>
      <c r="S321" s="7">
        <f>IF(SUM(H321:K321)=0,"",K321/SUM(H321:K321))</f>
        <v/>
      </c>
      <c r="T321" s="7">
        <f>IF(SUM(L321:O321)=0,"",L321/SUM(L321:O321))</f>
        <v/>
      </c>
      <c r="U321" s="7">
        <f>IF(SUM(L321:O321)=0,"",M321/SUM(L321:O321))</f>
        <v/>
      </c>
      <c r="V321" s="7">
        <f>IF(SUM(L321:O321)=0,"",N321/SUM(L321:O321))</f>
        <v/>
      </c>
      <c r="W321" s="7">
        <f>IF(SUM(L321:O321)=0,"",O321/SUM(L321:O321))</f>
        <v/>
      </c>
    </row>
    <row r="322">
      <c r="A322" t="n">
        <v>380</v>
      </c>
      <c r="B322" t="inlineStr">
        <is>
          <t>Past Board Chair</t>
        </is>
      </c>
      <c r="C322" t="n">
        <v>0</v>
      </c>
      <c r="D322" t="n">
        <v>1</v>
      </c>
      <c r="E322" t="n">
        <v>0</v>
      </c>
      <c r="F322" t="n">
        <v>0</v>
      </c>
      <c r="G322" t="b">
        <v>0</v>
      </c>
      <c r="H322" t="n">
        <v>0</v>
      </c>
      <c r="I322" t="n">
        <v>0</v>
      </c>
      <c r="J322" t="n">
        <v>0</v>
      </c>
      <c r="K322" t="n">
        <v>0</v>
      </c>
      <c r="L322" t="n">
        <v>2</v>
      </c>
      <c r="M322" t="n">
        <v>0</v>
      </c>
      <c r="N322" t="n">
        <v>1</v>
      </c>
      <c r="O322" t="n">
        <v>0</v>
      </c>
      <c r="P322" s="7">
        <f>IF(SUM(H322:K322)=0,"",H322/SUM(H322:K322))</f>
        <v/>
      </c>
      <c r="Q322" s="7">
        <f>IF(SUM(H322:K322)=0,"",I322/SUM(H322:K322))</f>
        <v/>
      </c>
      <c r="R322" s="7">
        <f>IF(SUM(H322:K322)=0,"",J322/SUM(H322:K322))</f>
        <v/>
      </c>
      <c r="S322" s="7">
        <f>IF(SUM(H322:K322)=0,"",K322/SUM(H322:K322))</f>
        <v/>
      </c>
      <c r="T322" s="7">
        <f>IF(SUM(L322:O322)=0,"",L322/SUM(L322:O322))</f>
        <v/>
      </c>
      <c r="U322" s="7">
        <f>IF(SUM(L322:O322)=0,"",M322/SUM(L322:O322))</f>
        <v/>
      </c>
      <c r="V322" s="7">
        <f>IF(SUM(L322:O322)=0,"",N322/SUM(L322:O322))</f>
        <v/>
      </c>
      <c r="W322" s="7">
        <f>IF(SUM(L322:O322)=0,"",O322/SUM(L322:O322))</f>
        <v/>
      </c>
    </row>
    <row r="323">
      <c r="A323" t="n">
        <v>381</v>
      </c>
      <c r="B323" t="inlineStr">
        <is>
          <t>[individual_tag] Trustee</t>
        </is>
      </c>
      <c r="C323" t="n">
        <v>0</v>
      </c>
      <c r="D323" t="n">
        <v>1</v>
      </c>
      <c r="E323" t="n">
        <v>0</v>
      </c>
      <c r="F323" t="n">
        <v>0</v>
      </c>
      <c r="G323" t="b">
        <v>0</v>
      </c>
      <c r="H323" t="n">
        <v>0</v>
      </c>
      <c r="I323" t="n">
        <v>0</v>
      </c>
      <c r="J323" t="n">
        <v>0</v>
      </c>
      <c r="K323" t="n">
        <v>0</v>
      </c>
      <c r="L323" t="n">
        <v>2</v>
      </c>
      <c r="M323" t="n">
        <v>0</v>
      </c>
      <c r="N323" t="n">
        <v>1</v>
      </c>
      <c r="O323" t="n">
        <v>0</v>
      </c>
      <c r="P323" s="7">
        <f>IF(SUM(H323:K323)=0,"",H323/SUM(H323:K323))</f>
        <v/>
      </c>
      <c r="Q323" s="7">
        <f>IF(SUM(H323:K323)=0,"",I323/SUM(H323:K323))</f>
        <v/>
      </c>
      <c r="R323" s="7">
        <f>IF(SUM(H323:K323)=0,"",J323/SUM(H323:K323))</f>
        <v/>
      </c>
      <c r="S323" s="7">
        <f>IF(SUM(H323:K323)=0,"",K323/SUM(H323:K323))</f>
        <v/>
      </c>
      <c r="T323" s="7">
        <f>IF(SUM(L323:O323)=0,"",L323/SUM(L323:O323))</f>
        <v/>
      </c>
      <c r="U323" s="7">
        <f>IF(SUM(L323:O323)=0,"",M323/SUM(L323:O323))</f>
        <v/>
      </c>
      <c r="V323" s="7">
        <f>IF(SUM(L323:O323)=0,"",N323/SUM(L323:O323))</f>
        <v/>
      </c>
      <c r="W323" s="7">
        <f>IF(SUM(L323:O323)=0,"",O323/SUM(L323:O323))</f>
        <v/>
      </c>
    </row>
    <row r="324">
      <c r="A324" t="n">
        <v>382</v>
      </c>
      <c r="B324" t="inlineStr">
        <is>
          <t>[individual_tag] Trustee</t>
        </is>
      </c>
      <c r="C324" t="n">
        <v>0</v>
      </c>
      <c r="D324" t="n">
        <v>1</v>
      </c>
      <c r="E324" t="n">
        <v>0</v>
      </c>
      <c r="F324" t="n">
        <v>0</v>
      </c>
      <c r="G324" t="b">
        <v>0</v>
      </c>
      <c r="H324" t="n">
        <v>0</v>
      </c>
      <c r="I324" t="n">
        <v>0</v>
      </c>
      <c r="J324" t="n">
        <v>0</v>
      </c>
      <c r="K324" t="n">
        <v>0</v>
      </c>
      <c r="L324" t="n">
        <v>2</v>
      </c>
      <c r="M324" t="n">
        <v>0</v>
      </c>
      <c r="N324" t="n">
        <v>1</v>
      </c>
      <c r="O324" t="n">
        <v>0</v>
      </c>
      <c r="P324" s="7">
        <f>IF(SUM(H324:K324)=0,"",H324/SUM(H324:K324))</f>
        <v/>
      </c>
      <c r="Q324" s="7">
        <f>IF(SUM(H324:K324)=0,"",I324/SUM(H324:K324))</f>
        <v/>
      </c>
      <c r="R324" s="7">
        <f>IF(SUM(H324:K324)=0,"",J324/SUM(H324:K324))</f>
        <v/>
      </c>
      <c r="S324" s="7">
        <f>IF(SUM(H324:K324)=0,"",K324/SUM(H324:K324))</f>
        <v/>
      </c>
      <c r="T324" s="7">
        <f>IF(SUM(L324:O324)=0,"",L324/SUM(L324:O324))</f>
        <v/>
      </c>
      <c r="U324" s="7">
        <f>IF(SUM(L324:O324)=0,"",M324/SUM(L324:O324))</f>
        <v/>
      </c>
      <c r="V324" s="7">
        <f>IF(SUM(L324:O324)=0,"",N324/SUM(L324:O324))</f>
        <v/>
      </c>
      <c r="W324" s="7">
        <f>IF(SUM(L324:O324)=0,"",O324/SUM(L324:O324))</f>
        <v/>
      </c>
    </row>
    <row r="325">
      <c r="A325" t="n">
        <v>383</v>
      </c>
      <c r="B325" t="inlineStr">
        <is>
          <t>[individual_tag] Trustee</t>
        </is>
      </c>
      <c r="C325" t="n">
        <v>0</v>
      </c>
      <c r="D325" t="n">
        <v>1</v>
      </c>
      <c r="E325" t="n">
        <v>0</v>
      </c>
      <c r="F325" t="n">
        <v>0</v>
      </c>
      <c r="G325" t="b">
        <v>0</v>
      </c>
      <c r="H325" t="n">
        <v>0</v>
      </c>
      <c r="I325" t="n">
        <v>0</v>
      </c>
      <c r="J325" t="n">
        <v>0</v>
      </c>
      <c r="K325" t="n">
        <v>0</v>
      </c>
      <c r="L325" t="n">
        <v>2</v>
      </c>
      <c r="M325" t="n">
        <v>0</v>
      </c>
      <c r="N325" t="n">
        <v>1</v>
      </c>
      <c r="O325" t="n">
        <v>0</v>
      </c>
      <c r="P325" s="7">
        <f>IF(SUM(H325:K325)=0,"",H325/SUM(H325:K325))</f>
        <v/>
      </c>
      <c r="Q325" s="7">
        <f>IF(SUM(H325:K325)=0,"",I325/SUM(H325:K325))</f>
        <v/>
      </c>
      <c r="R325" s="7">
        <f>IF(SUM(H325:K325)=0,"",J325/SUM(H325:K325))</f>
        <v/>
      </c>
      <c r="S325" s="7">
        <f>IF(SUM(H325:K325)=0,"",K325/SUM(H325:K325))</f>
        <v/>
      </c>
      <c r="T325" s="7">
        <f>IF(SUM(L325:O325)=0,"",L325/SUM(L325:O325))</f>
        <v/>
      </c>
      <c r="U325" s="7">
        <f>IF(SUM(L325:O325)=0,"",M325/SUM(L325:O325))</f>
        <v/>
      </c>
      <c r="V325" s="7">
        <f>IF(SUM(L325:O325)=0,"",N325/SUM(L325:O325))</f>
        <v/>
      </c>
      <c r="W325" s="7">
        <f>IF(SUM(L325:O325)=0,"",O325/SUM(L325:O325))</f>
        <v/>
      </c>
    </row>
    <row r="326">
      <c r="A326" t="n">
        <v>384</v>
      </c>
      <c r="B326" t="inlineStr">
        <is>
          <t>[individual_tag] Trustee</t>
        </is>
      </c>
      <c r="C326" t="n">
        <v>0</v>
      </c>
      <c r="D326" t="n">
        <v>1</v>
      </c>
      <c r="E326" t="n">
        <v>0</v>
      </c>
      <c r="F326" t="n">
        <v>0</v>
      </c>
      <c r="G326" t="b">
        <v>0</v>
      </c>
      <c r="H326" t="n">
        <v>0</v>
      </c>
      <c r="I326" t="n">
        <v>0</v>
      </c>
      <c r="J326" t="n">
        <v>0</v>
      </c>
      <c r="K326" t="n">
        <v>0</v>
      </c>
      <c r="L326" t="n">
        <v>2</v>
      </c>
      <c r="M326" t="n">
        <v>0</v>
      </c>
      <c r="N326" t="n">
        <v>1</v>
      </c>
      <c r="O326" t="n">
        <v>0</v>
      </c>
      <c r="P326" s="7">
        <f>IF(SUM(H326:K326)=0,"",H326/SUM(H326:K326))</f>
        <v/>
      </c>
      <c r="Q326" s="7">
        <f>IF(SUM(H326:K326)=0,"",I326/SUM(H326:K326))</f>
        <v/>
      </c>
      <c r="R326" s="7">
        <f>IF(SUM(H326:K326)=0,"",J326/SUM(H326:K326))</f>
        <v/>
      </c>
      <c r="S326" s="7">
        <f>IF(SUM(H326:K326)=0,"",K326/SUM(H326:K326))</f>
        <v/>
      </c>
      <c r="T326" s="7">
        <f>IF(SUM(L326:O326)=0,"",L326/SUM(L326:O326))</f>
        <v/>
      </c>
      <c r="U326" s="7">
        <f>IF(SUM(L326:O326)=0,"",M326/SUM(L326:O326))</f>
        <v/>
      </c>
      <c r="V326" s="7">
        <f>IF(SUM(L326:O326)=0,"",N326/SUM(L326:O326))</f>
        <v/>
      </c>
      <c r="W326" s="7">
        <f>IF(SUM(L326:O326)=0,"",O326/SUM(L326:O326))</f>
        <v/>
      </c>
    </row>
    <row r="327">
      <c r="A327" t="n">
        <v>385</v>
      </c>
      <c r="B327" t="inlineStr">
        <is>
          <t>[individual_tag] Trustee</t>
        </is>
      </c>
      <c r="C327" t="n">
        <v>0</v>
      </c>
      <c r="D327" t="n">
        <v>1</v>
      </c>
      <c r="E327" t="n">
        <v>0</v>
      </c>
      <c r="F327" t="n">
        <v>0</v>
      </c>
      <c r="G327" t="b">
        <v>0</v>
      </c>
      <c r="H327" t="n">
        <v>0</v>
      </c>
      <c r="I327" t="n">
        <v>0</v>
      </c>
      <c r="J327" t="n">
        <v>0</v>
      </c>
      <c r="K327" t="n">
        <v>0</v>
      </c>
      <c r="L327" t="n">
        <v>2</v>
      </c>
      <c r="M327" t="n">
        <v>0</v>
      </c>
      <c r="N327" t="n">
        <v>1</v>
      </c>
      <c r="O327" t="n">
        <v>0</v>
      </c>
      <c r="P327" s="7">
        <f>IF(SUM(H327:K327)=0,"",H327/SUM(H327:K327))</f>
        <v/>
      </c>
      <c r="Q327" s="7">
        <f>IF(SUM(H327:K327)=0,"",I327/SUM(H327:K327))</f>
        <v/>
      </c>
      <c r="R327" s="7">
        <f>IF(SUM(H327:K327)=0,"",J327/SUM(H327:K327))</f>
        <v/>
      </c>
      <c r="S327" s="7">
        <f>IF(SUM(H327:K327)=0,"",K327/SUM(H327:K327))</f>
        <v/>
      </c>
      <c r="T327" s="7">
        <f>IF(SUM(L327:O327)=0,"",L327/SUM(L327:O327))</f>
        <v/>
      </c>
      <c r="U327" s="7">
        <f>IF(SUM(L327:O327)=0,"",M327/SUM(L327:O327))</f>
        <v/>
      </c>
      <c r="V327" s="7">
        <f>IF(SUM(L327:O327)=0,"",N327/SUM(L327:O327))</f>
        <v/>
      </c>
      <c r="W327" s="7">
        <f>IF(SUM(L327:O327)=0,"",O327/SUM(L327:O327))</f>
        <v/>
      </c>
    </row>
    <row r="328">
      <c r="A328" t="n">
        <v>386</v>
      </c>
      <c r="B328" t="inlineStr">
        <is>
          <t>[individual_tag] Trustee</t>
        </is>
      </c>
      <c r="C328" t="n">
        <v>0</v>
      </c>
      <c r="D328" t="n">
        <v>1</v>
      </c>
      <c r="E328" t="n">
        <v>0</v>
      </c>
      <c r="F328" t="n">
        <v>0</v>
      </c>
      <c r="G328" t="b">
        <v>0</v>
      </c>
      <c r="H328" t="n">
        <v>0</v>
      </c>
      <c r="I328" t="n">
        <v>0</v>
      </c>
      <c r="J328" t="n">
        <v>0</v>
      </c>
      <c r="K328" t="n">
        <v>0</v>
      </c>
      <c r="L328" t="n">
        <v>2</v>
      </c>
      <c r="M328" t="n">
        <v>0</v>
      </c>
      <c r="N328" t="n">
        <v>1</v>
      </c>
      <c r="O328" t="n">
        <v>0</v>
      </c>
      <c r="P328" s="7">
        <f>IF(SUM(H328:K328)=0,"",H328/SUM(H328:K328))</f>
        <v/>
      </c>
      <c r="Q328" s="7">
        <f>IF(SUM(H328:K328)=0,"",I328/SUM(H328:K328))</f>
        <v/>
      </c>
      <c r="R328" s="7">
        <f>IF(SUM(H328:K328)=0,"",J328/SUM(H328:K328))</f>
        <v/>
      </c>
      <c r="S328" s="7">
        <f>IF(SUM(H328:K328)=0,"",K328/SUM(H328:K328))</f>
        <v/>
      </c>
      <c r="T328" s="7">
        <f>IF(SUM(L328:O328)=0,"",L328/SUM(L328:O328))</f>
        <v/>
      </c>
      <c r="U328" s="7">
        <f>IF(SUM(L328:O328)=0,"",M328/SUM(L328:O328))</f>
        <v/>
      </c>
      <c r="V328" s="7">
        <f>IF(SUM(L328:O328)=0,"",N328/SUM(L328:O328))</f>
        <v/>
      </c>
      <c r="W328" s="7">
        <f>IF(SUM(L328:O328)=0,"",O328/SUM(L328:O328))</f>
        <v/>
      </c>
    </row>
    <row r="329">
      <c r="A329" t="n">
        <v>387</v>
      </c>
      <c r="B329" t="inlineStr">
        <is>
          <t>[individual_tag] Trustee</t>
        </is>
      </c>
      <c r="C329" t="n">
        <v>0</v>
      </c>
      <c r="D329" t="n">
        <v>1</v>
      </c>
      <c r="E329" t="n">
        <v>0</v>
      </c>
      <c r="F329" t="n">
        <v>0</v>
      </c>
      <c r="G329" t="b">
        <v>0</v>
      </c>
      <c r="H329" t="n">
        <v>0</v>
      </c>
      <c r="I329" t="n">
        <v>0</v>
      </c>
      <c r="J329" t="n">
        <v>0</v>
      </c>
      <c r="K329" t="n">
        <v>0</v>
      </c>
      <c r="L329" t="n">
        <v>2</v>
      </c>
      <c r="M329" t="n">
        <v>0</v>
      </c>
      <c r="N329" t="n">
        <v>1</v>
      </c>
      <c r="O329" t="n">
        <v>0</v>
      </c>
      <c r="P329" s="7">
        <f>IF(SUM(H329:K329)=0,"",H329/SUM(H329:K329))</f>
        <v/>
      </c>
      <c r="Q329" s="7">
        <f>IF(SUM(H329:K329)=0,"",I329/SUM(H329:K329))</f>
        <v/>
      </c>
      <c r="R329" s="7">
        <f>IF(SUM(H329:K329)=0,"",J329/SUM(H329:K329))</f>
        <v/>
      </c>
      <c r="S329" s="7">
        <f>IF(SUM(H329:K329)=0,"",K329/SUM(H329:K329))</f>
        <v/>
      </c>
      <c r="T329" s="7">
        <f>IF(SUM(L329:O329)=0,"",L329/SUM(L329:O329))</f>
        <v/>
      </c>
      <c r="U329" s="7">
        <f>IF(SUM(L329:O329)=0,"",M329/SUM(L329:O329))</f>
        <v/>
      </c>
      <c r="V329" s="7">
        <f>IF(SUM(L329:O329)=0,"",N329/SUM(L329:O329))</f>
        <v/>
      </c>
      <c r="W329" s="7">
        <f>IF(SUM(L329:O329)=0,"",O329/SUM(L329:O329))</f>
        <v/>
      </c>
    </row>
    <row r="330">
      <c r="A330" t="n">
        <v>388</v>
      </c>
      <c r="B330" t="inlineStr">
        <is>
          <t>[individual_tag] Trustee</t>
        </is>
      </c>
      <c r="C330" t="n">
        <v>0</v>
      </c>
      <c r="D330" t="n">
        <v>1</v>
      </c>
      <c r="E330" t="n">
        <v>0</v>
      </c>
      <c r="F330" t="n">
        <v>0</v>
      </c>
      <c r="G330" t="b">
        <v>0</v>
      </c>
      <c r="H330" t="n">
        <v>0</v>
      </c>
      <c r="I330" t="n">
        <v>0</v>
      </c>
      <c r="J330" t="n">
        <v>0</v>
      </c>
      <c r="K330" t="n">
        <v>0</v>
      </c>
      <c r="L330" t="n">
        <v>2</v>
      </c>
      <c r="M330" t="n">
        <v>0</v>
      </c>
      <c r="N330" t="n">
        <v>1</v>
      </c>
      <c r="O330" t="n">
        <v>0</v>
      </c>
      <c r="P330" s="7">
        <f>IF(SUM(H330:K330)=0,"",H330/SUM(H330:K330))</f>
        <v/>
      </c>
      <c r="Q330" s="7">
        <f>IF(SUM(H330:K330)=0,"",I330/SUM(H330:K330))</f>
        <v/>
      </c>
      <c r="R330" s="7">
        <f>IF(SUM(H330:K330)=0,"",J330/SUM(H330:K330))</f>
        <v/>
      </c>
      <c r="S330" s="7">
        <f>IF(SUM(H330:K330)=0,"",K330/SUM(H330:K330))</f>
        <v/>
      </c>
      <c r="T330" s="7">
        <f>IF(SUM(L330:O330)=0,"",L330/SUM(L330:O330))</f>
        <v/>
      </c>
      <c r="U330" s="7">
        <f>IF(SUM(L330:O330)=0,"",M330/SUM(L330:O330))</f>
        <v/>
      </c>
      <c r="V330" s="7">
        <f>IF(SUM(L330:O330)=0,"",N330/SUM(L330:O330))</f>
        <v/>
      </c>
      <c r="W330" s="7">
        <f>IF(SUM(L330:O330)=0,"",O330/SUM(L330:O330))</f>
        <v/>
      </c>
    </row>
    <row r="331">
      <c r="A331" t="n">
        <v>389</v>
      </c>
      <c r="B331" t="inlineStr">
        <is>
          <t>[individual_tag] Trustee</t>
        </is>
      </c>
      <c r="C331" t="n">
        <v>0</v>
      </c>
      <c r="D331" t="n">
        <v>1</v>
      </c>
      <c r="E331" t="n">
        <v>0</v>
      </c>
      <c r="F331" t="n">
        <v>0</v>
      </c>
      <c r="G331" t="b">
        <v>0</v>
      </c>
      <c r="H331" t="n">
        <v>0</v>
      </c>
      <c r="I331" t="n">
        <v>0</v>
      </c>
      <c r="J331" t="n">
        <v>0</v>
      </c>
      <c r="K331" t="n">
        <v>0</v>
      </c>
      <c r="L331" t="n">
        <v>2</v>
      </c>
      <c r="M331" t="n">
        <v>0</v>
      </c>
      <c r="N331" t="n">
        <v>1</v>
      </c>
      <c r="O331" t="n">
        <v>0</v>
      </c>
      <c r="P331" s="7">
        <f>IF(SUM(H331:K331)=0,"",H331/SUM(H331:K331))</f>
        <v/>
      </c>
      <c r="Q331" s="7">
        <f>IF(SUM(H331:K331)=0,"",I331/SUM(H331:K331))</f>
        <v/>
      </c>
      <c r="R331" s="7">
        <f>IF(SUM(H331:K331)=0,"",J331/SUM(H331:K331))</f>
        <v/>
      </c>
      <c r="S331" s="7">
        <f>IF(SUM(H331:K331)=0,"",K331/SUM(H331:K331))</f>
        <v/>
      </c>
      <c r="T331" s="7">
        <f>IF(SUM(L331:O331)=0,"",L331/SUM(L331:O331))</f>
        <v/>
      </c>
      <c r="U331" s="7">
        <f>IF(SUM(L331:O331)=0,"",M331/SUM(L331:O331))</f>
        <v/>
      </c>
      <c r="V331" s="7">
        <f>IF(SUM(L331:O331)=0,"",N331/SUM(L331:O331))</f>
        <v/>
      </c>
      <c r="W331" s="7">
        <f>IF(SUM(L331:O331)=0,"",O331/SUM(L331:O331))</f>
        <v/>
      </c>
    </row>
    <row r="332">
      <c r="A332" t="n">
        <v>390</v>
      </c>
      <c r="B332" t="inlineStr">
        <is>
          <t>[individual_tag] Trustee [community_foundation_tag]</t>
        </is>
      </c>
      <c r="C332" t="n">
        <v>0</v>
      </c>
      <c r="D332" t="n">
        <v>1</v>
      </c>
      <c r="E332" t="n">
        <v>0</v>
      </c>
      <c r="F332" t="n">
        <v>0</v>
      </c>
      <c r="G332" t="b">
        <v>0</v>
      </c>
      <c r="H332" t="n">
        <v>0</v>
      </c>
      <c r="I332" t="n">
        <v>0</v>
      </c>
      <c r="J332" t="n">
        <v>0</v>
      </c>
      <c r="K332" t="n">
        <v>0</v>
      </c>
      <c r="L332" t="n">
        <v>2</v>
      </c>
      <c r="M332" t="n">
        <v>0</v>
      </c>
      <c r="N332" t="n">
        <v>1</v>
      </c>
      <c r="O332" t="n">
        <v>0</v>
      </c>
      <c r="P332" s="7">
        <f>IF(SUM(H332:K332)=0,"",H332/SUM(H332:K332))</f>
        <v/>
      </c>
      <c r="Q332" s="7">
        <f>IF(SUM(H332:K332)=0,"",I332/SUM(H332:K332))</f>
        <v/>
      </c>
      <c r="R332" s="7">
        <f>IF(SUM(H332:K332)=0,"",J332/SUM(H332:K332))</f>
        <v/>
      </c>
      <c r="S332" s="7">
        <f>IF(SUM(H332:K332)=0,"",K332/SUM(H332:K332))</f>
        <v/>
      </c>
      <c r="T332" s="7">
        <f>IF(SUM(L332:O332)=0,"",L332/SUM(L332:O332))</f>
        <v/>
      </c>
      <c r="U332" s="7">
        <f>IF(SUM(L332:O332)=0,"",M332/SUM(L332:O332))</f>
        <v/>
      </c>
      <c r="V332" s="7">
        <f>IF(SUM(L332:O332)=0,"",N332/SUM(L332:O332))</f>
        <v/>
      </c>
      <c r="W332" s="7">
        <f>IF(SUM(L332:O332)=0,"",O332/SUM(L332:O332))</f>
        <v/>
      </c>
    </row>
    <row r="333">
      <c r="A333" t="n">
        <v>391</v>
      </c>
      <c r="B333" t="inlineStr">
        <is>
          <t>For Good. For Ever. For All.</t>
        </is>
      </c>
      <c r="C333" t="n">
        <v>0</v>
      </c>
      <c r="D333" t="n">
        <v>2</v>
      </c>
      <c r="E333" t="n">
        <v>0</v>
      </c>
      <c r="F333" t="n">
        <v>0</v>
      </c>
      <c r="G333" t="b">
        <v>0</v>
      </c>
      <c r="H333" t="n">
        <v>0</v>
      </c>
      <c r="I333" t="n">
        <v>0</v>
      </c>
      <c r="J333" t="n">
        <v>0</v>
      </c>
      <c r="K333" t="n">
        <v>0</v>
      </c>
      <c r="L333" t="n">
        <v>4</v>
      </c>
      <c r="M333" t="n">
        <v>0</v>
      </c>
      <c r="N333" t="n">
        <v>0</v>
      </c>
      <c r="O333" t="n">
        <v>2</v>
      </c>
      <c r="P333" s="7">
        <f>IF(SUM(H333:K333)=0,"",H333/SUM(H333:K333))</f>
        <v/>
      </c>
      <c r="Q333" s="7">
        <f>IF(SUM(H333:K333)=0,"",I333/SUM(H333:K333))</f>
        <v/>
      </c>
      <c r="R333" s="7">
        <f>IF(SUM(H333:K333)=0,"",J333/SUM(H333:K333))</f>
        <v/>
      </c>
      <c r="S333" s="7">
        <f>IF(SUM(H333:K333)=0,"",K333/SUM(H333:K333))</f>
        <v/>
      </c>
      <c r="T333" s="7">
        <f>IF(SUM(L333:O333)=0,"",L333/SUM(L333:O333))</f>
        <v/>
      </c>
      <c r="U333" s="7">
        <f>IF(SUM(L333:O333)=0,"",M333/SUM(L333:O333))</f>
        <v/>
      </c>
      <c r="V333" s="7">
        <f>IF(SUM(L333:O333)=0,"",N333/SUM(L333:O333))</f>
        <v/>
      </c>
      <c r="W333" s="7">
        <f>IF(SUM(L333:O333)=0,"",O333/SUM(L333:O333))</f>
        <v/>
      </c>
    </row>
    <row r="334">
      <c r="A334" t="n">
        <v>392</v>
      </c>
      <c r="B334" t="inlineStr">
        <is>
          <t>76 Ashman Circle | Midland, MI 48640 | 989.839.9661</t>
        </is>
      </c>
      <c r="C334" t="n">
        <v>0</v>
      </c>
      <c r="D334" t="n">
        <v>0</v>
      </c>
      <c r="E334" t="n">
        <v>0</v>
      </c>
      <c r="F334" t="n">
        <v>0</v>
      </c>
      <c r="G334" t="b">
        <v>0</v>
      </c>
      <c r="H334" t="n">
        <v>0</v>
      </c>
      <c r="I334" t="n">
        <v>0</v>
      </c>
      <c r="J334" t="n">
        <v>0</v>
      </c>
      <c r="K334" t="n">
        <v>0</v>
      </c>
      <c r="L334" t="n">
        <v>0</v>
      </c>
      <c r="M334" t="n">
        <v>0</v>
      </c>
      <c r="N334" t="n">
        <v>0</v>
      </c>
      <c r="O334" t="n">
        <v>0</v>
      </c>
      <c r="P334" s="7">
        <f>IF(SUM(H334:K334)=0,"",H334/SUM(H334:K334))</f>
        <v/>
      </c>
      <c r="Q334" s="7">
        <f>IF(SUM(H334:K334)=0,"",I334/SUM(H334:K334))</f>
        <v/>
      </c>
      <c r="R334" s="7">
        <f>IF(SUM(H334:K334)=0,"",J334/SUM(H334:K334))</f>
        <v/>
      </c>
      <c r="S334" s="7">
        <f>IF(SUM(H334:K334)=0,"",K334/SUM(H334:K334))</f>
        <v/>
      </c>
      <c r="T334" s="7">
        <f>IF(SUM(L334:O334)=0,"",L334/SUM(L334:O334))</f>
        <v/>
      </c>
      <c r="U334" s="7">
        <f>IF(SUM(L334:O334)=0,"",M334/SUM(L334:O334))</f>
        <v/>
      </c>
      <c r="V334" s="7">
        <f>IF(SUM(L334:O334)=0,"",N334/SUM(L334:O334))</f>
        <v/>
      </c>
      <c r="W334" s="7">
        <f>IF(SUM(L334:O334)=0,"",O334/SUM(L334:O334))</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B2:F9"/>
  <sheetViews>
    <sheetView workbookViewId="0">
      <selection activeCell="A1" sqref="A1"/>
    </sheetView>
  </sheetViews>
  <sheetFormatPr baseColWidth="8" defaultRowHeight="15"/>
  <cols>
    <col width="3" customWidth="1" min="1" max="1"/>
    <col width="30" customWidth="1" min="2" max="2"/>
    <col width="13" customWidth="1" min="3" max="3"/>
    <col width="9" customWidth="1" min="4" max="4"/>
    <col width="13" customWidth="1" min="5" max="5"/>
    <col width="9" customWidth="1" min="6" max="6"/>
  </cols>
  <sheetData>
    <row r="2">
      <c r="B2" s="1" t="inlineStr">
        <is>
          <t>Document-level totals — 382023395_2022</t>
        </is>
      </c>
    </row>
    <row r="4">
      <c r="B4" s="6" t="inlineStr">
        <is>
          <t>Logic</t>
        </is>
      </c>
      <c r="C4" s="6" t="inlineStr">
        <is>
          <t>Human points</t>
        </is>
      </c>
      <c r="D4" s="6" t="inlineStr">
        <is>
          <t>Human %</t>
        </is>
      </c>
      <c r="E4" s="6" t="inlineStr">
        <is>
          <t>AI points</t>
        </is>
      </c>
      <c r="F4" s="6" t="inlineStr">
        <is>
          <t>AI %</t>
        </is>
      </c>
    </row>
    <row r="5">
      <c r="B5" s="4" t="inlineStr">
        <is>
          <t>PS — Philanthropic Stewardship</t>
        </is>
      </c>
      <c r="C5">
        <f>SUMIFS('R2 Chunk-level'!H2:H334,'R2 Chunk-level'!G2:G334,TRUE)</f>
        <v/>
      </c>
      <c r="D5" s="7">
        <f>IF($C$9=0,"",C5/$C$9)</f>
        <v/>
      </c>
      <c r="E5">
        <f>SUMIFS('R2 Chunk-level'!L2:L334,'R2 Chunk-level'!G2:G334,TRUE)</f>
        <v/>
      </c>
      <c r="F5" s="7">
        <f>IF($E$9=0,"",E5/$E$9)</f>
        <v/>
      </c>
    </row>
    <row r="6">
      <c r="B6" s="4" t="inlineStr">
        <is>
          <t>DS — Donor Services</t>
        </is>
      </c>
      <c r="C6">
        <f>SUMIFS('R2 Chunk-level'!I2:I334,'R2 Chunk-level'!G2:G334,TRUE)</f>
        <v/>
      </c>
      <c r="D6" s="7">
        <f>IF($C$9=0,"",C6/$C$9)</f>
        <v/>
      </c>
      <c r="E6">
        <f>SUMIFS('R2 Chunk-level'!M2:M334,'R2 Chunk-level'!G2:G334,TRUE)</f>
        <v/>
      </c>
      <c r="F6" s="7">
        <f>IF($E$9=0,"",E6/$E$9)</f>
        <v/>
      </c>
    </row>
    <row r="7">
      <c r="B7" s="4" t="inlineStr">
        <is>
          <t>PPG — Public-Private Governance</t>
        </is>
      </c>
      <c r="C7">
        <f>SUMIFS('R2 Chunk-level'!J2:J334,'R2 Chunk-level'!G2:G334,TRUE)</f>
        <v/>
      </c>
      <c r="D7" s="7">
        <f>IF($C$9=0,"",C7/$C$9)</f>
        <v/>
      </c>
      <c r="E7">
        <f>SUMIFS('R2 Chunk-level'!N2:N334,'R2 Chunk-level'!G2:G334,TRUE)</f>
        <v/>
      </c>
      <c r="F7" s="7">
        <f>IF($E$9=0,"",E7/$E$9)</f>
        <v/>
      </c>
    </row>
    <row r="8">
      <c r="B8" s="4" t="inlineStr">
        <is>
          <t>SC — Social Change</t>
        </is>
      </c>
      <c r="C8">
        <f>SUMIFS('R2 Chunk-level'!K2:K334,'R2 Chunk-level'!G2:G334,TRUE)</f>
        <v/>
      </c>
      <c r="D8" s="7">
        <f>IF($C$9=0,"",C8/$C$9)</f>
        <v/>
      </c>
      <c r="E8">
        <f>SUMIFS('R2 Chunk-level'!O2:O334,'R2 Chunk-level'!G2:G334,TRUE)</f>
        <v/>
      </c>
      <c r="F8" s="7">
        <f>IF($E$9=0,"",E8/$E$9)</f>
        <v/>
      </c>
    </row>
    <row r="9">
      <c r="B9" s="3" t="inlineStr">
        <is>
          <t>Total</t>
        </is>
      </c>
      <c r="C9" s="3">
        <f>SUM(C5:C8)</f>
        <v/>
      </c>
      <c r="E9" s="3">
        <f>SUM(E5:E8)</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14"/>
  <sheetViews>
    <sheetView workbookViewId="0">
      <pane ySplit="1" topLeftCell="A2" activePane="bottomLeft" state="frozen"/>
      <selection pane="bottomLeft" activeCell="A1" sqref="A1"/>
    </sheetView>
  </sheetViews>
  <sheetFormatPr baseColWidth="8" defaultRowHeight="15"/>
  <cols>
    <col width="10" customWidth="1" min="1" max="1"/>
    <col width="15" customWidth="1" min="2" max="2"/>
    <col width="10" customWidth="1" min="3" max="3"/>
    <col width="13" customWidth="1" min="4" max="4"/>
    <col width="9" customWidth="1" min="5" max="5"/>
    <col width="9" customWidth="1" min="6" max="6"/>
  </cols>
  <sheetData>
    <row r="1">
      <c r="A1" s="6" t="inlineStr">
        <is>
          <t>Chunk ID</t>
        </is>
      </c>
      <c r="B1" s="6" t="inlineStr">
        <is>
          <t>Human dominant</t>
        </is>
      </c>
      <c r="C1" s="6" t="inlineStr">
        <is>
          <t>Human tie?</t>
        </is>
      </c>
      <c r="D1" s="6" t="inlineStr">
        <is>
          <t>AI dominant</t>
        </is>
      </c>
      <c r="E1" s="6" t="inlineStr">
        <is>
          <t>AI tie?</t>
        </is>
      </c>
      <c r="F1" s="6" t="inlineStr">
        <is>
          <t>Match?</t>
        </is>
      </c>
    </row>
    <row r="2">
      <c r="A2" t="n">
        <v>3</v>
      </c>
      <c r="B2" t="inlineStr">
        <is>
          <t>PS</t>
        </is>
      </c>
      <c r="C2" t="b">
        <v>0</v>
      </c>
      <c r="D2" t="inlineStr">
        <is>
          <t>PPG</t>
        </is>
      </c>
      <c r="E2" t="b">
        <v>0</v>
      </c>
      <c r="F2" t="b">
        <v>0</v>
      </c>
    </row>
    <row r="3">
      <c r="A3" t="n">
        <v>7</v>
      </c>
      <c r="B3" t="inlineStr">
        <is>
          <t>PPG</t>
        </is>
      </c>
      <c r="C3" t="b">
        <v>0</v>
      </c>
      <c r="D3" t="inlineStr">
        <is>
          <t>PS</t>
        </is>
      </c>
      <c r="E3" t="b">
        <v>0</v>
      </c>
      <c r="F3" t="b">
        <v>0</v>
      </c>
    </row>
    <row r="4">
      <c r="A4" t="n">
        <v>8</v>
      </c>
      <c r="B4" t="inlineStr">
        <is>
          <t>DS</t>
        </is>
      </c>
      <c r="C4" t="b">
        <v>0</v>
      </c>
      <c r="D4" t="inlineStr">
        <is>
          <t>DS</t>
        </is>
      </c>
      <c r="E4" t="b">
        <v>0</v>
      </c>
      <c r="F4" t="b">
        <v>1</v>
      </c>
    </row>
    <row r="5">
      <c r="A5" t="n">
        <v>9</v>
      </c>
      <c r="B5" t="inlineStr">
        <is>
          <t>DS</t>
        </is>
      </c>
      <c r="C5" t="b">
        <v>0</v>
      </c>
      <c r="D5" t="inlineStr">
        <is>
          <t>DS</t>
        </is>
      </c>
      <c r="E5" t="b">
        <v>0</v>
      </c>
      <c r="F5" t="b">
        <v>1</v>
      </c>
    </row>
    <row r="6">
      <c r="A6" t="n">
        <v>11</v>
      </c>
      <c r="B6" t="inlineStr">
        <is>
          <t>PS</t>
        </is>
      </c>
      <c r="C6" t="b">
        <v>0</v>
      </c>
      <c r="D6" t="inlineStr">
        <is>
          <t>PPG</t>
        </is>
      </c>
      <c r="E6" t="b">
        <v>0</v>
      </c>
      <c r="F6" t="b">
        <v>0</v>
      </c>
    </row>
    <row r="7">
      <c r="A7" t="n">
        <v>13</v>
      </c>
      <c r="B7" t="inlineStr">
        <is>
          <t>PPG</t>
        </is>
      </c>
      <c r="C7" t="b">
        <v>0</v>
      </c>
      <c r="D7" t="inlineStr">
        <is>
          <t>PPG</t>
        </is>
      </c>
      <c r="E7" t="b">
        <v>0</v>
      </c>
      <c r="F7" t="b">
        <v>1</v>
      </c>
    </row>
    <row r="8">
      <c r="A8" t="n">
        <v>14</v>
      </c>
      <c r="B8" t="inlineStr">
        <is>
          <t>SC</t>
        </is>
      </c>
      <c r="C8" t="b">
        <v>0</v>
      </c>
      <c r="D8" t="inlineStr">
        <is>
          <t>SC</t>
        </is>
      </c>
      <c r="E8" t="b">
        <v>0</v>
      </c>
      <c r="F8" t="b">
        <v>1</v>
      </c>
    </row>
    <row r="9">
      <c r="A9" t="n">
        <v>15</v>
      </c>
      <c r="B9" t="inlineStr">
        <is>
          <t>DS</t>
        </is>
      </c>
      <c r="C9" t="b">
        <v>0</v>
      </c>
      <c r="D9" t="inlineStr">
        <is>
          <t>DS</t>
        </is>
      </c>
      <c r="E9" t="b">
        <v>0</v>
      </c>
      <c r="F9" t="b">
        <v>1</v>
      </c>
    </row>
    <row r="10">
      <c r="A10" t="n">
        <v>17</v>
      </c>
      <c r="B10" t="inlineStr">
        <is>
          <t>PPG</t>
        </is>
      </c>
      <c r="C10" t="b">
        <v>0</v>
      </c>
      <c r="D10" t="inlineStr">
        <is>
          <t>PS</t>
        </is>
      </c>
      <c r="E10" t="b">
        <v>0</v>
      </c>
      <c r="F10" t="b">
        <v>0</v>
      </c>
    </row>
    <row r="11">
      <c r="A11" t="n">
        <v>18</v>
      </c>
      <c r="B11" t="inlineStr">
        <is>
          <t>DS</t>
        </is>
      </c>
      <c r="C11" t="b">
        <v>0</v>
      </c>
      <c r="D11" t="inlineStr">
        <is>
          <t>DS</t>
        </is>
      </c>
      <c r="E11" t="b">
        <v>0</v>
      </c>
      <c r="F11" t="b">
        <v>1</v>
      </c>
    </row>
    <row r="12">
      <c r="A12" t="n">
        <v>19</v>
      </c>
      <c r="B12" t="inlineStr">
        <is>
          <t>PS</t>
        </is>
      </c>
      <c r="C12" t="b">
        <v>1</v>
      </c>
      <c r="D12" t="inlineStr">
        <is>
          <t>DS</t>
        </is>
      </c>
      <c r="E12" t="b">
        <v>0</v>
      </c>
      <c r="F12" t="b">
        <v>0</v>
      </c>
    </row>
    <row r="13">
      <c r="A13" t="n">
        <v>20</v>
      </c>
      <c r="B13" t="inlineStr">
        <is>
          <t>PPG</t>
        </is>
      </c>
      <c r="C13" t="b">
        <v>0</v>
      </c>
      <c r="D13" t="inlineStr">
        <is>
          <t>PS</t>
        </is>
      </c>
      <c r="E13" t="b">
        <v>0</v>
      </c>
      <c r="F13" t="b">
        <v>0</v>
      </c>
    </row>
    <row r="14">
      <c r="A14" t="n">
        <v>25</v>
      </c>
      <c r="B14" t="inlineStr">
        <is>
          <t>PS</t>
        </is>
      </c>
      <c r="C14" t="b">
        <v>0</v>
      </c>
      <c r="D14" t="inlineStr">
        <is>
          <t>PS</t>
        </is>
      </c>
      <c r="E14" t="b">
        <v>0</v>
      </c>
      <c r="F14" t="b">
        <v>1</v>
      </c>
    </row>
    <row r="15">
      <c r="A15" t="n">
        <v>29</v>
      </c>
      <c r="B15" t="inlineStr">
        <is>
          <t>PPG</t>
        </is>
      </c>
      <c r="C15" t="b">
        <v>0</v>
      </c>
      <c r="D15" t="inlineStr">
        <is>
          <t>PS</t>
        </is>
      </c>
      <c r="E15" t="b">
        <v>0</v>
      </c>
      <c r="F15" t="b">
        <v>0</v>
      </c>
    </row>
    <row r="16">
      <c r="A16" t="n">
        <v>30</v>
      </c>
      <c r="B16" t="inlineStr">
        <is>
          <t>PPG</t>
        </is>
      </c>
      <c r="C16" t="b">
        <v>0</v>
      </c>
      <c r="D16" t="inlineStr">
        <is>
          <t>PPG</t>
        </is>
      </c>
      <c r="E16" t="b">
        <v>0</v>
      </c>
      <c r="F16" t="b">
        <v>1</v>
      </c>
    </row>
    <row r="17">
      <c r="A17" t="n">
        <v>31</v>
      </c>
      <c r="B17" t="inlineStr">
        <is>
          <t>PPG</t>
        </is>
      </c>
      <c r="C17" t="b">
        <v>0</v>
      </c>
      <c r="D17" t="inlineStr">
        <is>
          <t>PPG</t>
        </is>
      </c>
      <c r="E17" t="b">
        <v>0</v>
      </c>
      <c r="F17" t="b">
        <v>1</v>
      </c>
    </row>
    <row r="18">
      <c r="A18" t="n">
        <v>34</v>
      </c>
      <c r="B18" t="inlineStr">
        <is>
          <t>PS</t>
        </is>
      </c>
      <c r="C18" t="b">
        <v>0</v>
      </c>
      <c r="D18" t="inlineStr">
        <is>
          <t>PS</t>
        </is>
      </c>
      <c r="E18" t="b">
        <v>0</v>
      </c>
      <c r="F18" t="b">
        <v>1</v>
      </c>
    </row>
    <row r="19">
      <c r="A19" t="n">
        <v>35</v>
      </c>
      <c r="B19" t="inlineStr">
        <is>
          <t>PS</t>
        </is>
      </c>
      <c r="C19" t="b">
        <v>0</v>
      </c>
      <c r="D19" t="inlineStr">
        <is>
          <t>PS</t>
        </is>
      </c>
      <c r="E19" t="b">
        <v>0</v>
      </c>
      <c r="F19" t="b">
        <v>1</v>
      </c>
    </row>
    <row r="20">
      <c r="A20" t="n">
        <v>38</v>
      </c>
      <c r="B20" t="inlineStr">
        <is>
          <t>PPG</t>
        </is>
      </c>
      <c r="C20" t="b">
        <v>0</v>
      </c>
      <c r="D20" t="inlineStr">
        <is>
          <t>PS</t>
        </is>
      </c>
      <c r="E20" t="b">
        <v>0</v>
      </c>
      <c r="F20" t="b">
        <v>0</v>
      </c>
    </row>
    <row r="21">
      <c r="A21" t="n">
        <v>45</v>
      </c>
      <c r="B21" t="inlineStr">
        <is>
          <t>PPG</t>
        </is>
      </c>
      <c r="C21" t="b">
        <v>0</v>
      </c>
      <c r="D21" t="inlineStr">
        <is>
          <t>PPG</t>
        </is>
      </c>
      <c r="E21" t="b">
        <v>0</v>
      </c>
      <c r="F21" t="b">
        <v>1</v>
      </c>
    </row>
    <row r="22">
      <c r="A22" t="n">
        <v>46</v>
      </c>
      <c r="B22" t="inlineStr">
        <is>
          <t>PS</t>
        </is>
      </c>
      <c r="C22" t="b">
        <v>1</v>
      </c>
      <c r="D22" t="inlineStr">
        <is>
          <t>PS</t>
        </is>
      </c>
      <c r="E22" t="b">
        <v>0</v>
      </c>
      <c r="F22" t="b">
        <v>1</v>
      </c>
    </row>
    <row r="23">
      <c r="A23" t="n">
        <v>48</v>
      </c>
      <c r="B23" t="inlineStr">
        <is>
          <t>PPG</t>
        </is>
      </c>
      <c r="C23" t="b">
        <v>0</v>
      </c>
      <c r="D23" t="inlineStr">
        <is>
          <t>PS</t>
        </is>
      </c>
      <c r="E23" t="b">
        <v>0</v>
      </c>
      <c r="F23" t="b">
        <v>0</v>
      </c>
    </row>
    <row r="24">
      <c r="A24" t="n">
        <v>49</v>
      </c>
      <c r="B24" t="inlineStr">
        <is>
          <t>PPG</t>
        </is>
      </c>
      <c r="C24" t="b">
        <v>0</v>
      </c>
      <c r="D24" t="inlineStr">
        <is>
          <t>PS</t>
        </is>
      </c>
      <c r="E24" t="b">
        <v>0</v>
      </c>
      <c r="F24" t="b">
        <v>0</v>
      </c>
    </row>
    <row r="25">
      <c r="A25" t="n">
        <v>50</v>
      </c>
      <c r="B25" t="inlineStr">
        <is>
          <t>PPG</t>
        </is>
      </c>
      <c r="C25" t="b">
        <v>0</v>
      </c>
      <c r="D25" t="inlineStr">
        <is>
          <t>PS</t>
        </is>
      </c>
      <c r="E25" t="b">
        <v>0</v>
      </c>
      <c r="F25" t="b">
        <v>0</v>
      </c>
    </row>
    <row r="26">
      <c r="A26" t="n">
        <v>51</v>
      </c>
      <c r="B26" t="inlineStr">
        <is>
          <t>PS</t>
        </is>
      </c>
      <c r="C26" t="b">
        <v>0</v>
      </c>
      <c r="D26" t="inlineStr">
        <is>
          <t>PS</t>
        </is>
      </c>
      <c r="E26" t="b">
        <v>0</v>
      </c>
      <c r="F26" t="b">
        <v>1</v>
      </c>
    </row>
    <row r="27">
      <c r="A27" t="n">
        <v>57</v>
      </c>
      <c r="B27" t="inlineStr">
        <is>
          <t>PPG</t>
        </is>
      </c>
      <c r="C27" t="b">
        <v>0</v>
      </c>
      <c r="D27" t="inlineStr">
        <is>
          <t>PS</t>
        </is>
      </c>
      <c r="E27" t="b">
        <v>0</v>
      </c>
      <c r="F27" t="b">
        <v>0</v>
      </c>
    </row>
    <row r="28">
      <c r="A28" t="n">
        <v>59</v>
      </c>
      <c r="B28" t="inlineStr">
        <is>
          <t>PS</t>
        </is>
      </c>
      <c r="C28" t="b">
        <v>0</v>
      </c>
      <c r="D28" t="inlineStr">
        <is>
          <t>PS</t>
        </is>
      </c>
      <c r="E28" t="b">
        <v>0</v>
      </c>
      <c r="F28" t="b">
        <v>1</v>
      </c>
    </row>
    <row r="29">
      <c r="A29" t="n">
        <v>70</v>
      </c>
      <c r="B29" t="inlineStr">
        <is>
          <t>PS</t>
        </is>
      </c>
      <c r="C29" t="b">
        <v>0</v>
      </c>
      <c r="D29" t="inlineStr">
        <is>
          <t>PS</t>
        </is>
      </c>
      <c r="E29" t="b">
        <v>0</v>
      </c>
      <c r="F29" t="b">
        <v>1</v>
      </c>
    </row>
    <row r="30">
      <c r="A30" t="n">
        <v>73</v>
      </c>
      <c r="B30" t="inlineStr">
        <is>
          <t>DS</t>
        </is>
      </c>
      <c r="C30" t="b">
        <v>0</v>
      </c>
      <c r="D30" t="inlineStr">
        <is>
          <t>DS</t>
        </is>
      </c>
      <c r="E30" t="b">
        <v>0</v>
      </c>
      <c r="F30" t="b">
        <v>1</v>
      </c>
    </row>
    <row r="31">
      <c r="A31" t="n">
        <v>74</v>
      </c>
      <c r="B31" t="inlineStr">
        <is>
          <t>DS</t>
        </is>
      </c>
      <c r="C31" t="b">
        <v>0</v>
      </c>
      <c r="D31" t="inlineStr">
        <is>
          <t>DS</t>
        </is>
      </c>
      <c r="E31" t="b">
        <v>0</v>
      </c>
      <c r="F31" t="b">
        <v>1</v>
      </c>
    </row>
    <row r="32">
      <c r="A32" t="n">
        <v>85</v>
      </c>
      <c r="B32" t="inlineStr">
        <is>
          <t>PPG</t>
        </is>
      </c>
      <c r="C32" t="b">
        <v>0</v>
      </c>
      <c r="D32" t="inlineStr">
        <is>
          <t>SC</t>
        </is>
      </c>
      <c r="E32" t="b">
        <v>0</v>
      </c>
      <c r="F32" t="b">
        <v>0</v>
      </c>
    </row>
    <row r="33">
      <c r="A33" t="n">
        <v>90</v>
      </c>
      <c r="B33" t="inlineStr">
        <is>
          <t>SC</t>
        </is>
      </c>
      <c r="C33" t="b">
        <v>0</v>
      </c>
      <c r="D33" t="inlineStr">
        <is>
          <t>SC</t>
        </is>
      </c>
      <c r="E33" t="b">
        <v>0</v>
      </c>
      <c r="F33" t="b">
        <v>1</v>
      </c>
    </row>
    <row r="34">
      <c r="A34" t="n">
        <v>91</v>
      </c>
      <c r="B34" t="inlineStr">
        <is>
          <t>SC</t>
        </is>
      </c>
      <c r="C34" t="b">
        <v>0</v>
      </c>
      <c r="D34" t="inlineStr">
        <is>
          <t>SC</t>
        </is>
      </c>
      <c r="E34" t="b">
        <v>0</v>
      </c>
      <c r="F34" t="b">
        <v>1</v>
      </c>
    </row>
    <row r="35">
      <c r="A35" t="n">
        <v>92</v>
      </c>
      <c r="B35" t="inlineStr">
        <is>
          <t>SC</t>
        </is>
      </c>
      <c r="C35" t="b">
        <v>0</v>
      </c>
      <c r="D35" t="inlineStr">
        <is>
          <t>SC</t>
        </is>
      </c>
      <c r="E35" t="b">
        <v>0</v>
      </c>
      <c r="F35" t="b">
        <v>1</v>
      </c>
    </row>
    <row r="36">
      <c r="A36" t="n">
        <v>93</v>
      </c>
      <c r="B36" t="inlineStr">
        <is>
          <t>PPG</t>
        </is>
      </c>
      <c r="C36" t="b">
        <v>0</v>
      </c>
      <c r="D36" t="inlineStr">
        <is>
          <t>SC</t>
        </is>
      </c>
      <c r="E36" t="b">
        <v>0</v>
      </c>
      <c r="F36" t="b">
        <v>0</v>
      </c>
    </row>
    <row r="37">
      <c r="A37" t="n">
        <v>94</v>
      </c>
      <c r="B37" t="inlineStr">
        <is>
          <t>SC</t>
        </is>
      </c>
      <c r="C37" t="b">
        <v>0</v>
      </c>
      <c r="D37" t="inlineStr">
        <is>
          <t>SC</t>
        </is>
      </c>
      <c r="E37" t="b">
        <v>0</v>
      </c>
      <c r="F37" t="b">
        <v>1</v>
      </c>
    </row>
    <row r="38">
      <c r="A38" t="n">
        <v>96</v>
      </c>
      <c r="B38" t="inlineStr">
        <is>
          <t>PPG</t>
        </is>
      </c>
      <c r="C38" t="b">
        <v>0</v>
      </c>
      <c r="D38" t="inlineStr">
        <is>
          <t>SC</t>
        </is>
      </c>
      <c r="E38" t="b">
        <v>0</v>
      </c>
      <c r="F38" t="b">
        <v>0</v>
      </c>
    </row>
    <row r="39">
      <c r="A39" t="n">
        <v>101</v>
      </c>
      <c r="B39" t="inlineStr">
        <is>
          <t>PPG</t>
        </is>
      </c>
      <c r="C39" t="b">
        <v>0</v>
      </c>
      <c r="D39" t="inlineStr">
        <is>
          <t>SC</t>
        </is>
      </c>
      <c r="E39" t="b">
        <v>0</v>
      </c>
      <c r="F39" t="b">
        <v>0</v>
      </c>
    </row>
    <row r="40">
      <c r="A40" t="n">
        <v>102</v>
      </c>
      <c r="B40" t="inlineStr">
        <is>
          <t>PPG</t>
        </is>
      </c>
      <c r="C40" t="b">
        <v>0</v>
      </c>
      <c r="D40" t="inlineStr">
        <is>
          <t>SC</t>
        </is>
      </c>
      <c r="E40" t="b">
        <v>0</v>
      </c>
      <c r="F40" t="b">
        <v>0</v>
      </c>
    </row>
    <row r="41">
      <c r="A41" t="n">
        <v>103</v>
      </c>
      <c r="B41" t="inlineStr">
        <is>
          <t>SC</t>
        </is>
      </c>
      <c r="C41" t="b">
        <v>0</v>
      </c>
      <c r="D41" t="inlineStr">
        <is>
          <t>SC</t>
        </is>
      </c>
      <c r="E41" t="b">
        <v>0</v>
      </c>
      <c r="F41" t="b">
        <v>1</v>
      </c>
    </row>
    <row r="42">
      <c r="A42" t="n">
        <v>104</v>
      </c>
      <c r="B42" t="inlineStr">
        <is>
          <t>SC</t>
        </is>
      </c>
      <c r="C42" t="b">
        <v>0</v>
      </c>
      <c r="D42" t="inlineStr">
        <is>
          <t>SC</t>
        </is>
      </c>
      <c r="E42" t="b">
        <v>0</v>
      </c>
      <c r="F42" t="b">
        <v>1</v>
      </c>
    </row>
    <row r="43">
      <c r="A43" t="n">
        <v>105</v>
      </c>
      <c r="B43" t="inlineStr">
        <is>
          <t>PPG</t>
        </is>
      </c>
      <c r="C43" t="b">
        <v>0</v>
      </c>
      <c r="D43" t="inlineStr">
        <is>
          <t>PPG</t>
        </is>
      </c>
      <c r="E43" t="b">
        <v>0</v>
      </c>
      <c r="F43" t="b">
        <v>1</v>
      </c>
    </row>
    <row r="44">
      <c r="A44" t="n">
        <v>106</v>
      </c>
      <c r="B44" t="inlineStr">
        <is>
          <t>PPG</t>
        </is>
      </c>
      <c r="C44" t="b">
        <v>0</v>
      </c>
      <c r="D44" t="inlineStr">
        <is>
          <t>SC</t>
        </is>
      </c>
      <c r="E44" t="b">
        <v>0</v>
      </c>
      <c r="F44" t="b">
        <v>0</v>
      </c>
    </row>
    <row r="45">
      <c r="A45" t="n">
        <v>107</v>
      </c>
      <c r="B45" t="inlineStr">
        <is>
          <t>PPG</t>
        </is>
      </c>
      <c r="C45" t="b">
        <v>0</v>
      </c>
      <c r="D45" t="inlineStr">
        <is>
          <t>SC</t>
        </is>
      </c>
      <c r="E45" t="b">
        <v>0</v>
      </c>
      <c r="F45" t="b">
        <v>0</v>
      </c>
    </row>
    <row r="46">
      <c r="A46" t="n">
        <v>108</v>
      </c>
      <c r="B46" t="inlineStr">
        <is>
          <t>PPG</t>
        </is>
      </c>
      <c r="C46" t="b">
        <v>0</v>
      </c>
      <c r="D46" t="inlineStr">
        <is>
          <t>SC</t>
        </is>
      </c>
      <c r="E46" t="b">
        <v>0</v>
      </c>
      <c r="F46" t="b">
        <v>0</v>
      </c>
    </row>
    <row r="47">
      <c r="A47" t="n">
        <v>110</v>
      </c>
      <c r="B47" t="inlineStr">
        <is>
          <t>PPG</t>
        </is>
      </c>
      <c r="C47" t="b">
        <v>0</v>
      </c>
      <c r="D47" t="inlineStr">
        <is>
          <t>SC</t>
        </is>
      </c>
      <c r="E47" t="b">
        <v>0</v>
      </c>
      <c r="F47" t="b">
        <v>0</v>
      </c>
    </row>
    <row r="48">
      <c r="A48" t="n">
        <v>113</v>
      </c>
      <c r="B48" t="inlineStr">
        <is>
          <t>PPG</t>
        </is>
      </c>
      <c r="C48" t="b">
        <v>0</v>
      </c>
      <c r="D48" t="inlineStr">
        <is>
          <t>PS</t>
        </is>
      </c>
      <c r="E48" t="b">
        <v>0</v>
      </c>
      <c r="F48" t="b">
        <v>0</v>
      </c>
    </row>
    <row r="49">
      <c r="A49" t="n">
        <v>114</v>
      </c>
      <c r="B49" t="inlineStr">
        <is>
          <t>PPG</t>
        </is>
      </c>
      <c r="C49" t="b">
        <v>0</v>
      </c>
      <c r="D49" t="inlineStr">
        <is>
          <t>PPG</t>
        </is>
      </c>
      <c r="E49" t="b">
        <v>0</v>
      </c>
      <c r="F49" t="b">
        <v>1</v>
      </c>
    </row>
    <row r="50">
      <c r="A50" t="n">
        <v>116</v>
      </c>
      <c r="B50" t="inlineStr">
        <is>
          <t>PPG</t>
        </is>
      </c>
      <c r="C50" t="b">
        <v>0</v>
      </c>
      <c r="D50" t="inlineStr">
        <is>
          <t>PPG</t>
        </is>
      </c>
      <c r="E50" t="b">
        <v>0</v>
      </c>
      <c r="F50" t="b">
        <v>1</v>
      </c>
    </row>
    <row r="51">
      <c r="A51" t="n">
        <v>117</v>
      </c>
      <c r="B51" t="inlineStr">
        <is>
          <t>PPG</t>
        </is>
      </c>
      <c r="C51" t="b">
        <v>0</v>
      </c>
      <c r="D51" t="inlineStr">
        <is>
          <t>SC</t>
        </is>
      </c>
      <c r="E51" t="b">
        <v>0</v>
      </c>
      <c r="F51" t="b">
        <v>0</v>
      </c>
    </row>
    <row r="52">
      <c r="A52" t="n">
        <v>120</v>
      </c>
      <c r="B52" t="inlineStr">
        <is>
          <t>SC</t>
        </is>
      </c>
      <c r="C52" t="b">
        <v>0</v>
      </c>
      <c r="D52" t="inlineStr">
        <is>
          <t>SC</t>
        </is>
      </c>
      <c r="E52" t="b">
        <v>0</v>
      </c>
      <c r="F52" t="b">
        <v>1</v>
      </c>
    </row>
    <row r="53">
      <c r="A53" t="n">
        <v>121</v>
      </c>
      <c r="B53" t="inlineStr">
        <is>
          <t>SC</t>
        </is>
      </c>
      <c r="C53" t="b">
        <v>0</v>
      </c>
      <c r="D53" t="inlineStr">
        <is>
          <t>SC</t>
        </is>
      </c>
      <c r="E53" t="b">
        <v>0</v>
      </c>
      <c r="F53" t="b">
        <v>1</v>
      </c>
    </row>
    <row r="54">
      <c r="A54" t="n">
        <v>122</v>
      </c>
      <c r="B54" t="inlineStr">
        <is>
          <t>SC</t>
        </is>
      </c>
      <c r="C54" t="b">
        <v>0</v>
      </c>
      <c r="D54" t="inlineStr">
        <is>
          <t>SC</t>
        </is>
      </c>
      <c r="E54" t="b">
        <v>0</v>
      </c>
      <c r="F54" t="b">
        <v>1</v>
      </c>
    </row>
    <row r="55">
      <c r="A55" t="n">
        <v>129</v>
      </c>
      <c r="B55" t="inlineStr">
        <is>
          <t>DS</t>
        </is>
      </c>
      <c r="C55" t="b">
        <v>0</v>
      </c>
      <c r="D55" t="inlineStr">
        <is>
          <t>PS</t>
        </is>
      </c>
      <c r="E55" t="b">
        <v>0</v>
      </c>
      <c r="F55" t="b">
        <v>0</v>
      </c>
    </row>
    <row r="56">
      <c r="A56" t="n">
        <v>140</v>
      </c>
      <c r="B56" t="inlineStr">
        <is>
          <t>PS</t>
        </is>
      </c>
      <c r="C56" t="b">
        <v>0</v>
      </c>
      <c r="D56" t="inlineStr">
        <is>
          <t>PS</t>
        </is>
      </c>
      <c r="E56" t="b">
        <v>0</v>
      </c>
      <c r="F56" t="b">
        <v>1</v>
      </c>
    </row>
    <row r="57">
      <c r="A57" t="n">
        <v>141</v>
      </c>
      <c r="B57" t="inlineStr">
        <is>
          <t>PS</t>
        </is>
      </c>
      <c r="C57" t="b">
        <v>0</v>
      </c>
      <c r="D57" t="inlineStr">
        <is>
          <t>PS</t>
        </is>
      </c>
      <c r="E57" t="b">
        <v>0</v>
      </c>
      <c r="F57" t="b">
        <v>1</v>
      </c>
    </row>
    <row r="58">
      <c r="A58" t="n">
        <v>148</v>
      </c>
      <c r="B58" t="inlineStr">
        <is>
          <t>DS</t>
        </is>
      </c>
      <c r="C58" t="b">
        <v>0</v>
      </c>
      <c r="D58" t="inlineStr">
        <is>
          <t>DS</t>
        </is>
      </c>
      <c r="E58" t="b">
        <v>0</v>
      </c>
      <c r="F58" t="b">
        <v>1</v>
      </c>
    </row>
    <row r="59">
      <c r="A59" t="n">
        <v>152</v>
      </c>
      <c r="B59" t="inlineStr">
        <is>
          <t>PS</t>
        </is>
      </c>
      <c r="C59" t="b">
        <v>0</v>
      </c>
      <c r="D59" t="inlineStr">
        <is>
          <t>PS</t>
        </is>
      </c>
      <c r="E59" t="b">
        <v>1</v>
      </c>
      <c r="F59" t="b">
        <v>1</v>
      </c>
    </row>
    <row r="60">
      <c r="A60" t="n">
        <v>155</v>
      </c>
      <c r="B60" t="inlineStr">
        <is>
          <t>PPG</t>
        </is>
      </c>
      <c r="C60" t="b">
        <v>0</v>
      </c>
      <c r="D60" t="inlineStr">
        <is>
          <t>PPG</t>
        </is>
      </c>
      <c r="E60" t="b">
        <v>0</v>
      </c>
      <c r="F60" t="b">
        <v>1</v>
      </c>
    </row>
    <row r="61">
      <c r="A61" t="n">
        <v>161</v>
      </c>
      <c r="B61" t="inlineStr">
        <is>
          <t>SC</t>
        </is>
      </c>
      <c r="C61" t="b">
        <v>0</v>
      </c>
      <c r="D61" t="inlineStr">
        <is>
          <t>PPG</t>
        </is>
      </c>
      <c r="E61" t="b">
        <v>0</v>
      </c>
      <c r="F61" t="b">
        <v>0</v>
      </c>
    </row>
    <row r="62">
      <c r="A62" t="n">
        <v>162</v>
      </c>
      <c r="B62" t="inlineStr">
        <is>
          <t>PPG</t>
        </is>
      </c>
      <c r="C62" t="b">
        <v>0</v>
      </c>
      <c r="D62" t="inlineStr">
        <is>
          <t>PPG</t>
        </is>
      </c>
      <c r="E62" t="b">
        <v>0</v>
      </c>
      <c r="F62" t="b">
        <v>1</v>
      </c>
    </row>
    <row r="63">
      <c r="A63" t="n">
        <v>163</v>
      </c>
      <c r="B63" t="inlineStr">
        <is>
          <t>PS</t>
        </is>
      </c>
      <c r="C63" t="b">
        <v>0</v>
      </c>
      <c r="D63" t="inlineStr">
        <is>
          <t>PPG</t>
        </is>
      </c>
      <c r="E63" t="b">
        <v>0</v>
      </c>
      <c r="F63" t="b">
        <v>0</v>
      </c>
    </row>
    <row r="64">
      <c r="A64" t="n">
        <v>164</v>
      </c>
      <c r="B64" t="inlineStr">
        <is>
          <t>SC</t>
        </is>
      </c>
      <c r="C64" t="b">
        <v>0</v>
      </c>
      <c r="D64" t="inlineStr">
        <is>
          <t>PS</t>
        </is>
      </c>
      <c r="E64" t="b">
        <v>1</v>
      </c>
      <c r="F64" t="b">
        <v>0</v>
      </c>
    </row>
    <row r="65">
      <c r="A65" t="n">
        <v>165</v>
      </c>
      <c r="B65" t="inlineStr">
        <is>
          <t>DS</t>
        </is>
      </c>
      <c r="C65" t="b">
        <v>0</v>
      </c>
      <c r="D65" t="inlineStr">
        <is>
          <t>DS</t>
        </is>
      </c>
      <c r="E65" t="b">
        <v>0</v>
      </c>
      <c r="F65" t="b">
        <v>1</v>
      </c>
    </row>
    <row r="66">
      <c r="A66" t="n">
        <v>166</v>
      </c>
      <c r="B66" t="inlineStr">
        <is>
          <t>DS</t>
        </is>
      </c>
      <c r="C66" t="b">
        <v>0</v>
      </c>
      <c r="D66" t="inlineStr">
        <is>
          <t>PS</t>
        </is>
      </c>
      <c r="E66" t="b">
        <v>0</v>
      </c>
      <c r="F66" t="b">
        <v>0</v>
      </c>
    </row>
    <row r="67">
      <c r="A67" t="n">
        <v>169</v>
      </c>
      <c r="B67" t="inlineStr">
        <is>
          <t>PS</t>
        </is>
      </c>
      <c r="C67" t="b">
        <v>0</v>
      </c>
      <c r="D67" t="inlineStr">
        <is>
          <t>PS</t>
        </is>
      </c>
      <c r="E67" t="b">
        <v>0</v>
      </c>
      <c r="F67" t="b">
        <v>1</v>
      </c>
    </row>
    <row r="68">
      <c r="A68" t="n">
        <v>170</v>
      </c>
      <c r="B68" t="inlineStr">
        <is>
          <t>PS</t>
        </is>
      </c>
      <c r="C68" t="b">
        <v>0</v>
      </c>
      <c r="D68" t="inlineStr">
        <is>
          <t>DS</t>
        </is>
      </c>
      <c r="E68" t="b">
        <v>0</v>
      </c>
      <c r="F68" t="b">
        <v>0</v>
      </c>
    </row>
    <row r="69">
      <c r="A69" t="n">
        <v>171</v>
      </c>
      <c r="B69" t="inlineStr">
        <is>
          <t>DS</t>
        </is>
      </c>
      <c r="C69" t="b">
        <v>0</v>
      </c>
      <c r="D69" t="inlineStr">
        <is>
          <t>DS</t>
        </is>
      </c>
      <c r="E69" t="b">
        <v>0</v>
      </c>
      <c r="F69" t="b">
        <v>1</v>
      </c>
    </row>
    <row r="70">
      <c r="A70" t="n">
        <v>187</v>
      </c>
      <c r="B70" t="inlineStr">
        <is>
          <t>PS</t>
        </is>
      </c>
      <c r="C70" t="b">
        <v>0</v>
      </c>
      <c r="D70" t="inlineStr">
        <is>
          <t>PS</t>
        </is>
      </c>
      <c r="E70" t="b">
        <v>0</v>
      </c>
      <c r="F70" t="b">
        <v>1</v>
      </c>
    </row>
    <row r="71">
      <c r="A71" t="n">
        <v>188</v>
      </c>
      <c r="B71" t="inlineStr">
        <is>
          <t>PS</t>
        </is>
      </c>
      <c r="C71" t="b">
        <v>0</v>
      </c>
      <c r="D71" t="inlineStr">
        <is>
          <t>PS</t>
        </is>
      </c>
      <c r="E71" t="b">
        <v>0</v>
      </c>
      <c r="F71" t="b">
        <v>1</v>
      </c>
    </row>
    <row r="72">
      <c r="A72" t="n">
        <v>192</v>
      </c>
      <c r="B72" t="inlineStr">
        <is>
          <t>DS</t>
        </is>
      </c>
      <c r="C72" t="b">
        <v>0</v>
      </c>
      <c r="D72" t="inlineStr">
        <is>
          <t>DS</t>
        </is>
      </c>
      <c r="E72" t="b">
        <v>0</v>
      </c>
      <c r="F72" t="b">
        <v>1</v>
      </c>
    </row>
    <row r="73">
      <c r="A73" t="n">
        <v>193</v>
      </c>
      <c r="B73" t="inlineStr">
        <is>
          <t>DS</t>
        </is>
      </c>
      <c r="C73" t="b">
        <v>0</v>
      </c>
      <c r="D73" t="inlineStr">
        <is>
          <t>DS</t>
        </is>
      </c>
      <c r="E73" t="b">
        <v>0</v>
      </c>
      <c r="F73" t="b">
        <v>1</v>
      </c>
    </row>
    <row r="74">
      <c r="A74" t="n">
        <v>194</v>
      </c>
      <c r="B74" t="inlineStr">
        <is>
          <t>DS</t>
        </is>
      </c>
      <c r="C74" t="b">
        <v>0</v>
      </c>
      <c r="D74" t="inlineStr">
        <is>
          <t>DS</t>
        </is>
      </c>
      <c r="E74" t="b">
        <v>0</v>
      </c>
      <c r="F74" t="b">
        <v>1</v>
      </c>
    </row>
    <row r="75">
      <c r="A75" t="n">
        <v>195</v>
      </c>
      <c r="B75" t="inlineStr">
        <is>
          <t>DS</t>
        </is>
      </c>
      <c r="C75" t="b">
        <v>0</v>
      </c>
      <c r="D75" t="inlineStr">
        <is>
          <t>DS</t>
        </is>
      </c>
      <c r="E75" t="b">
        <v>0</v>
      </c>
      <c r="F75" t="b">
        <v>1</v>
      </c>
    </row>
    <row r="76">
      <c r="A76" t="n">
        <v>196</v>
      </c>
      <c r="B76" t="inlineStr">
        <is>
          <t>DS</t>
        </is>
      </c>
      <c r="C76" t="b">
        <v>0</v>
      </c>
      <c r="D76" t="inlineStr">
        <is>
          <t>DS</t>
        </is>
      </c>
      <c r="E76" t="b">
        <v>0</v>
      </c>
      <c r="F76" t="b">
        <v>1</v>
      </c>
    </row>
    <row r="77">
      <c r="A77" t="n">
        <v>197</v>
      </c>
      <c r="B77" t="inlineStr">
        <is>
          <t>DS</t>
        </is>
      </c>
      <c r="C77" t="b">
        <v>0</v>
      </c>
      <c r="D77" t="inlineStr">
        <is>
          <t>DS</t>
        </is>
      </c>
      <c r="E77" t="b">
        <v>0</v>
      </c>
      <c r="F77" t="b">
        <v>1</v>
      </c>
    </row>
    <row r="78">
      <c r="A78" t="n">
        <v>203</v>
      </c>
      <c r="B78" t="inlineStr">
        <is>
          <t>PS</t>
        </is>
      </c>
      <c r="C78" t="b">
        <v>0</v>
      </c>
      <c r="D78" t="inlineStr">
        <is>
          <t>DS</t>
        </is>
      </c>
      <c r="E78" t="b">
        <v>0</v>
      </c>
      <c r="F78" t="b">
        <v>0</v>
      </c>
    </row>
    <row r="79">
      <c r="A79" t="n">
        <v>204</v>
      </c>
      <c r="B79" t="inlineStr">
        <is>
          <t>PS</t>
        </is>
      </c>
      <c r="C79" t="b">
        <v>0</v>
      </c>
      <c r="D79" t="inlineStr">
        <is>
          <t>DS</t>
        </is>
      </c>
      <c r="E79" t="b">
        <v>0</v>
      </c>
      <c r="F79" t="b">
        <v>0</v>
      </c>
    </row>
    <row r="80">
      <c r="A80" t="n">
        <v>207</v>
      </c>
      <c r="B80" t="inlineStr">
        <is>
          <t>PPG</t>
        </is>
      </c>
      <c r="C80" t="b">
        <v>0</v>
      </c>
      <c r="D80" t="inlineStr">
        <is>
          <t>DS</t>
        </is>
      </c>
      <c r="E80" t="b">
        <v>0</v>
      </c>
      <c r="F80" t="b">
        <v>0</v>
      </c>
    </row>
    <row r="81">
      <c r="A81" t="n">
        <v>208</v>
      </c>
      <c r="B81" t="inlineStr">
        <is>
          <t>DS</t>
        </is>
      </c>
      <c r="C81" t="b">
        <v>0</v>
      </c>
      <c r="D81" t="inlineStr">
        <is>
          <t>DS</t>
        </is>
      </c>
      <c r="E81" t="b">
        <v>0</v>
      </c>
      <c r="F81" t="b">
        <v>1</v>
      </c>
    </row>
    <row r="82">
      <c r="A82" t="n">
        <v>212</v>
      </c>
      <c r="B82" t="inlineStr">
        <is>
          <t>PPG</t>
        </is>
      </c>
      <c r="C82" t="b">
        <v>0</v>
      </c>
      <c r="D82" t="inlineStr">
        <is>
          <t>PPG</t>
        </is>
      </c>
      <c r="E82" t="b">
        <v>0</v>
      </c>
      <c r="F82" t="b">
        <v>1</v>
      </c>
    </row>
    <row r="83">
      <c r="A83" t="n">
        <v>213</v>
      </c>
      <c r="B83" t="inlineStr">
        <is>
          <t>PS</t>
        </is>
      </c>
      <c r="C83" t="b">
        <v>0</v>
      </c>
      <c r="D83" t="inlineStr">
        <is>
          <t>PPG</t>
        </is>
      </c>
      <c r="E83" t="b">
        <v>0</v>
      </c>
      <c r="F83" t="b">
        <v>0</v>
      </c>
    </row>
    <row r="84">
      <c r="A84" t="n">
        <v>216</v>
      </c>
      <c r="B84" t="inlineStr">
        <is>
          <t>PPG</t>
        </is>
      </c>
      <c r="C84" t="b">
        <v>0</v>
      </c>
      <c r="D84" t="inlineStr">
        <is>
          <t>PPG</t>
        </is>
      </c>
      <c r="E84" t="b">
        <v>0</v>
      </c>
      <c r="F84" t="b">
        <v>1</v>
      </c>
    </row>
    <row r="85">
      <c r="A85" t="n">
        <v>217</v>
      </c>
      <c r="B85" t="inlineStr">
        <is>
          <t>PPG</t>
        </is>
      </c>
      <c r="C85" t="b">
        <v>0</v>
      </c>
      <c r="D85" t="inlineStr">
        <is>
          <t>PPG</t>
        </is>
      </c>
      <c r="E85" t="b">
        <v>0</v>
      </c>
      <c r="F85" t="b">
        <v>1</v>
      </c>
    </row>
    <row r="86">
      <c r="A86" t="n">
        <v>220</v>
      </c>
      <c r="B86" t="inlineStr">
        <is>
          <t>SC</t>
        </is>
      </c>
      <c r="C86" t="b">
        <v>0</v>
      </c>
      <c r="D86" t="inlineStr">
        <is>
          <t>SC</t>
        </is>
      </c>
      <c r="E86" t="b">
        <v>0</v>
      </c>
      <c r="F86" t="b">
        <v>1</v>
      </c>
    </row>
    <row r="87">
      <c r="A87" t="n">
        <v>221</v>
      </c>
      <c r="B87" t="inlineStr">
        <is>
          <t>SC</t>
        </is>
      </c>
      <c r="C87" t="b">
        <v>0</v>
      </c>
      <c r="D87" t="inlineStr">
        <is>
          <t>PS</t>
        </is>
      </c>
      <c r="E87" t="b">
        <v>0</v>
      </c>
      <c r="F87" t="b">
        <v>0</v>
      </c>
    </row>
    <row r="88">
      <c r="A88" t="n">
        <v>223</v>
      </c>
      <c r="B88" t="inlineStr">
        <is>
          <t>PPG</t>
        </is>
      </c>
      <c r="C88" t="b">
        <v>0</v>
      </c>
      <c r="D88" t="inlineStr">
        <is>
          <t>PPG</t>
        </is>
      </c>
      <c r="E88" t="b">
        <v>0</v>
      </c>
      <c r="F88" t="b">
        <v>1</v>
      </c>
    </row>
    <row r="89">
      <c r="A89" t="n">
        <v>226</v>
      </c>
      <c r="B89" t="inlineStr">
        <is>
          <t>PPG</t>
        </is>
      </c>
      <c r="C89" t="b">
        <v>0</v>
      </c>
      <c r="D89" t="inlineStr">
        <is>
          <t>PPG</t>
        </is>
      </c>
      <c r="E89" t="b">
        <v>0</v>
      </c>
      <c r="F89" t="b">
        <v>1</v>
      </c>
    </row>
    <row r="90">
      <c r="A90" t="n">
        <v>227</v>
      </c>
      <c r="B90" t="inlineStr">
        <is>
          <t>PS</t>
        </is>
      </c>
      <c r="C90" t="b">
        <v>0</v>
      </c>
      <c r="D90" t="inlineStr">
        <is>
          <t>PPG</t>
        </is>
      </c>
      <c r="E90" t="b">
        <v>0</v>
      </c>
      <c r="F90" t="b">
        <v>0</v>
      </c>
    </row>
    <row r="91">
      <c r="A91" t="n">
        <v>228</v>
      </c>
      <c r="B91" t="inlineStr">
        <is>
          <t>DS</t>
        </is>
      </c>
      <c r="C91" t="b">
        <v>0</v>
      </c>
      <c r="D91" t="inlineStr">
        <is>
          <t>DS</t>
        </is>
      </c>
      <c r="E91" t="b">
        <v>0</v>
      </c>
      <c r="F91" t="b">
        <v>1</v>
      </c>
    </row>
    <row r="92">
      <c r="A92" t="n">
        <v>244</v>
      </c>
      <c r="B92" t="inlineStr">
        <is>
          <t>PPG</t>
        </is>
      </c>
      <c r="C92" t="b">
        <v>0</v>
      </c>
      <c r="D92" t="inlineStr">
        <is>
          <t>PPG</t>
        </is>
      </c>
      <c r="E92" t="b">
        <v>0</v>
      </c>
      <c r="F92" t="b">
        <v>1</v>
      </c>
    </row>
    <row r="93">
      <c r="A93" t="n">
        <v>246</v>
      </c>
      <c r="B93" t="inlineStr">
        <is>
          <t>PPG</t>
        </is>
      </c>
      <c r="C93" t="b">
        <v>0</v>
      </c>
      <c r="D93" t="inlineStr">
        <is>
          <t>PPG</t>
        </is>
      </c>
      <c r="E93" t="b">
        <v>0</v>
      </c>
      <c r="F93" t="b">
        <v>1</v>
      </c>
    </row>
    <row r="94">
      <c r="A94" t="n">
        <v>248</v>
      </c>
      <c r="B94" t="inlineStr">
        <is>
          <t>PPG</t>
        </is>
      </c>
      <c r="C94" t="b">
        <v>0</v>
      </c>
      <c r="D94" t="inlineStr">
        <is>
          <t>PPG</t>
        </is>
      </c>
      <c r="E94" t="b">
        <v>0</v>
      </c>
      <c r="F94" t="b">
        <v>1</v>
      </c>
    </row>
    <row r="95">
      <c r="A95" t="n">
        <v>258</v>
      </c>
      <c r="B95" t="inlineStr">
        <is>
          <t>PPG</t>
        </is>
      </c>
      <c r="C95" t="b">
        <v>0</v>
      </c>
      <c r="D95" t="inlineStr">
        <is>
          <t>PPG</t>
        </is>
      </c>
      <c r="E95" t="b">
        <v>0</v>
      </c>
      <c r="F95" t="b">
        <v>1</v>
      </c>
    </row>
    <row r="96">
      <c r="A96" t="n">
        <v>264</v>
      </c>
      <c r="B96" t="inlineStr">
        <is>
          <t>PPG</t>
        </is>
      </c>
      <c r="C96" t="b">
        <v>0</v>
      </c>
      <c r="D96" t="inlineStr">
        <is>
          <t>PPG</t>
        </is>
      </c>
      <c r="E96" t="b">
        <v>0</v>
      </c>
      <c r="F96" t="b">
        <v>1</v>
      </c>
    </row>
    <row r="97">
      <c r="A97" t="n">
        <v>265</v>
      </c>
      <c r="B97" t="inlineStr">
        <is>
          <t>PPG</t>
        </is>
      </c>
      <c r="C97" t="b">
        <v>0</v>
      </c>
      <c r="D97" t="inlineStr">
        <is>
          <t>PPG</t>
        </is>
      </c>
      <c r="E97" t="b">
        <v>0</v>
      </c>
      <c r="F97" t="b">
        <v>1</v>
      </c>
    </row>
    <row r="98">
      <c r="A98" t="n">
        <v>266</v>
      </c>
      <c r="B98" t="inlineStr">
        <is>
          <t>PPG</t>
        </is>
      </c>
      <c r="C98" t="b">
        <v>0</v>
      </c>
      <c r="D98" t="inlineStr">
        <is>
          <t>PPG</t>
        </is>
      </c>
      <c r="E98" t="b">
        <v>0</v>
      </c>
      <c r="F98" t="b">
        <v>1</v>
      </c>
    </row>
    <row r="99">
      <c r="A99" t="n">
        <v>275</v>
      </c>
      <c r="B99" t="inlineStr">
        <is>
          <t>PPG</t>
        </is>
      </c>
      <c r="C99" t="b">
        <v>0</v>
      </c>
      <c r="D99" t="inlineStr">
        <is>
          <t>PPG</t>
        </is>
      </c>
      <c r="E99" t="b">
        <v>0</v>
      </c>
      <c r="F99" t="b">
        <v>1</v>
      </c>
    </row>
    <row r="100">
      <c r="A100" t="n">
        <v>277</v>
      </c>
      <c r="B100" t="inlineStr">
        <is>
          <t>PPG</t>
        </is>
      </c>
      <c r="C100" t="b">
        <v>0</v>
      </c>
      <c r="D100" t="inlineStr">
        <is>
          <t>SC</t>
        </is>
      </c>
      <c r="E100" t="b">
        <v>0</v>
      </c>
      <c r="F100" t="b">
        <v>0</v>
      </c>
    </row>
    <row r="101">
      <c r="A101" t="n">
        <v>290</v>
      </c>
      <c r="B101" t="inlineStr">
        <is>
          <t>PPG</t>
        </is>
      </c>
      <c r="C101" t="b">
        <v>0</v>
      </c>
      <c r="D101" t="inlineStr">
        <is>
          <t>SC</t>
        </is>
      </c>
      <c r="E101" t="b">
        <v>0</v>
      </c>
      <c r="F101" t="b">
        <v>0</v>
      </c>
    </row>
    <row r="102">
      <c r="A102" t="n">
        <v>295</v>
      </c>
      <c r="B102" t="inlineStr">
        <is>
          <t>PPG</t>
        </is>
      </c>
      <c r="C102" t="b">
        <v>0</v>
      </c>
      <c r="D102" t="inlineStr">
        <is>
          <t>SC</t>
        </is>
      </c>
      <c r="E102" t="b">
        <v>0</v>
      </c>
      <c r="F102" t="b">
        <v>0</v>
      </c>
    </row>
    <row r="103">
      <c r="A103" t="n">
        <v>305</v>
      </c>
      <c r="B103" t="inlineStr">
        <is>
          <t>PPG</t>
        </is>
      </c>
      <c r="C103" t="b">
        <v>0</v>
      </c>
      <c r="D103" t="inlineStr">
        <is>
          <t>PPG</t>
        </is>
      </c>
      <c r="E103" t="b">
        <v>0</v>
      </c>
      <c r="F103" t="b">
        <v>1</v>
      </c>
    </row>
    <row r="104">
      <c r="A104" t="n">
        <v>306</v>
      </c>
      <c r="B104" t="inlineStr">
        <is>
          <t>PPG</t>
        </is>
      </c>
      <c r="C104" t="b">
        <v>0</v>
      </c>
      <c r="D104" t="inlineStr">
        <is>
          <t>PPG</t>
        </is>
      </c>
      <c r="E104" t="b">
        <v>0</v>
      </c>
      <c r="F104" t="b">
        <v>1</v>
      </c>
    </row>
    <row r="105">
      <c r="A105" t="n">
        <v>313</v>
      </c>
      <c r="B105" t="inlineStr">
        <is>
          <t>PPG</t>
        </is>
      </c>
      <c r="C105" t="b">
        <v>0</v>
      </c>
      <c r="D105" t="inlineStr">
        <is>
          <t>PPG</t>
        </is>
      </c>
      <c r="E105" t="b">
        <v>0</v>
      </c>
      <c r="F105" t="b">
        <v>1</v>
      </c>
    </row>
    <row r="106">
      <c r="A106" t="n">
        <v>314</v>
      </c>
      <c r="B106" t="inlineStr">
        <is>
          <t>PPG</t>
        </is>
      </c>
      <c r="C106" t="b">
        <v>0</v>
      </c>
      <c r="D106" t="inlineStr">
        <is>
          <t>PPG</t>
        </is>
      </c>
      <c r="E106" t="b">
        <v>0</v>
      </c>
      <c r="F106" t="b">
        <v>1</v>
      </c>
    </row>
    <row r="107">
      <c r="A107" t="n">
        <v>316</v>
      </c>
      <c r="B107" t="inlineStr">
        <is>
          <t>PPG</t>
        </is>
      </c>
      <c r="C107" t="b">
        <v>0</v>
      </c>
      <c r="D107" t="inlineStr">
        <is>
          <t>PS</t>
        </is>
      </c>
      <c r="E107" t="b">
        <v>0</v>
      </c>
      <c r="F107" t="b">
        <v>0</v>
      </c>
    </row>
    <row r="108">
      <c r="A108" t="n">
        <v>320</v>
      </c>
      <c r="B108" t="inlineStr">
        <is>
          <t>PPG</t>
        </is>
      </c>
      <c r="C108" t="b">
        <v>0</v>
      </c>
      <c r="D108" t="inlineStr">
        <is>
          <t>PS</t>
        </is>
      </c>
      <c r="E108" t="b">
        <v>0</v>
      </c>
      <c r="F108" t="b">
        <v>0</v>
      </c>
    </row>
    <row r="109">
      <c r="A109" t="n">
        <v>323</v>
      </c>
      <c r="B109" t="inlineStr">
        <is>
          <t>PPG</t>
        </is>
      </c>
      <c r="C109" t="b">
        <v>0</v>
      </c>
      <c r="D109" t="inlineStr">
        <is>
          <t>PPG</t>
        </is>
      </c>
      <c r="E109" t="b">
        <v>0</v>
      </c>
      <c r="F109" t="b">
        <v>1</v>
      </c>
    </row>
    <row r="110">
      <c r="A110" t="n">
        <v>324</v>
      </c>
      <c r="B110" t="inlineStr">
        <is>
          <t>PPG</t>
        </is>
      </c>
      <c r="C110" t="b">
        <v>0</v>
      </c>
      <c r="D110" t="inlineStr">
        <is>
          <t>PPG</t>
        </is>
      </c>
      <c r="E110" t="b">
        <v>0</v>
      </c>
      <c r="F110" t="b">
        <v>1</v>
      </c>
    </row>
    <row r="111">
      <c r="A111" t="n">
        <v>326</v>
      </c>
      <c r="B111" t="inlineStr">
        <is>
          <t>PPG</t>
        </is>
      </c>
      <c r="C111" t="b">
        <v>0</v>
      </c>
      <c r="D111" t="inlineStr">
        <is>
          <t>PPG</t>
        </is>
      </c>
      <c r="E111" t="b">
        <v>0</v>
      </c>
      <c r="F111" t="b">
        <v>1</v>
      </c>
    </row>
    <row r="112">
      <c r="A112" t="n">
        <v>327</v>
      </c>
      <c r="B112" t="inlineStr">
        <is>
          <t>PPG</t>
        </is>
      </c>
      <c r="C112" t="b">
        <v>0</v>
      </c>
      <c r="D112" t="inlineStr">
        <is>
          <t>PPG</t>
        </is>
      </c>
      <c r="E112" t="b">
        <v>0</v>
      </c>
      <c r="F112" t="b">
        <v>1</v>
      </c>
    </row>
    <row r="113">
      <c r="A113" t="n">
        <v>331</v>
      </c>
      <c r="B113" t="inlineStr">
        <is>
          <t>PPG</t>
        </is>
      </c>
      <c r="C113" t="b">
        <v>0</v>
      </c>
      <c r="D113" t="inlineStr">
        <is>
          <t>PS</t>
        </is>
      </c>
      <c r="E113" t="b">
        <v>0</v>
      </c>
      <c r="F113" t="b">
        <v>0</v>
      </c>
    </row>
    <row r="114">
      <c r="A114" t="n">
        <v>334</v>
      </c>
      <c r="B114" t="inlineStr">
        <is>
          <t>PS</t>
        </is>
      </c>
      <c r="C114" t="b">
        <v>0</v>
      </c>
      <c r="D114" t="inlineStr">
        <is>
          <t>PS</t>
        </is>
      </c>
      <c r="E114" t="b">
        <v>1</v>
      </c>
      <c r="F114" t="b">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B2:G90"/>
  <sheetViews>
    <sheetView workbookViewId="0">
      <selection activeCell="A1" sqref="A1"/>
    </sheetView>
  </sheetViews>
  <sheetFormatPr baseColWidth="8" defaultRowHeight="15"/>
  <cols>
    <col width="3" customWidth="1" min="1" max="1"/>
    <col width="36" customWidth="1" min="2" max="2"/>
    <col width="11" customWidth="1" min="3" max="3"/>
    <col width="11" customWidth="1" min="4" max="4"/>
    <col width="11" customWidth="1" min="5" max="5"/>
    <col width="11" customWidth="1" min="6" max="6"/>
    <col width="12" customWidth="1" min="7" max="7"/>
  </cols>
  <sheetData>
    <row r="2">
      <c r="B2" s="1" t="inlineStr">
        <is>
          <t>Chunk-level agreement — 382023395_2022</t>
        </is>
      </c>
    </row>
    <row r="3">
      <c r="B3" s="2" t="inlineStr">
        <is>
          <t>N=113 chunks coded by both coders. Ties: 2 human, 3 AI (broken PS&gt;DS&gt;PPG&gt;SC).</t>
        </is>
      </c>
    </row>
    <row r="7">
      <c r="B7" s="3" t="inlineStr">
        <is>
          <t>A. Full sample</t>
        </is>
      </c>
    </row>
    <row r="8">
      <c r="C8" s="6" t="inlineStr">
        <is>
          <t>AI: PS</t>
        </is>
      </c>
      <c r="D8" s="6" t="inlineStr">
        <is>
          <t>AI: DS</t>
        </is>
      </c>
      <c r="E8" s="6" t="inlineStr">
        <is>
          <t>AI: PPG</t>
        </is>
      </c>
      <c r="F8" s="6" t="inlineStr">
        <is>
          <t>AI: SC</t>
        </is>
      </c>
      <c r="G8" s="6" t="inlineStr">
        <is>
          <t>Row total</t>
        </is>
      </c>
    </row>
    <row r="9">
      <c r="B9" s="4" t="inlineStr">
        <is>
          <t>Human: PS</t>
        </is>
      </c>
      <c r="C9">
        <f>COUNTIFS('R2 Chunk Dominant'!$B$2:$B$114,"PS",'R2 Chunk Dominant'!$D$2:$D$114,"PS")</f>
        <v/>
      </c>
      <c r="D9">
        <f>COUNTIFS('R2 Chunk Dominant'!$B$2:$B$114,"PS",'R2 Chunk Dominant'!$D$2:$D$114,"DS")</f>
        <v/>
      </c>
      <c r="E9">
        <f>COUNTIFS('R2 Chunk Dominant'!$B$2:$B$114,"PS",'R2 Chunk Dominant'!$D$2:$D$114,"PPG")</f>
        <v/>
      </c>
      <c r="F9">
        <f>COUNTIFS('R2 Chunk Dominant'!$B$2:$B$114,"PS",'R2 Chunk Dominant'!$D$2:$D$114,"SC")</f>
        <v/>
      </c>
      <c r="G9">
        <f>SUM(C9:F9)</f>
        <v/>
      </c>
    </row>
    <row r="10">
      <c r="B10" s="4" t="inlineStr">
        <is>
          <t>Human: DS</t>
        </is>
      </c>
      <c r="C10">
        <f>COUNTIFS('R2 Chunk Dominant'!$B$2:$B$114,"DS",'R2 Chunk Dominant'!$D$2:$D$114,"PS")</f>
        <v/>
      </c>
      <c r="D10">
        <f>COUNTIFS('R2 Chunk Dominant'!$B$2:$B$114,"DS",'R2 Chunk Dominant'!$D$2:$D$114,"DS")</f>
        <v/>
      </c>
      <c r="E10">
        <f>COUNTIFS('R2 Chunk Dominant'!$B$2:$B$114,"DS",'R2 Chunk Dominant'!$D$2:$D$114,"PPG")</f>
        <v/>
      </c>
      <c r="F10">
        <f>COUNTIFS('R2 Chunk Dominant'!$B$2:$B$114,"DS",'R2 Chunk Dominant'!$D$2:$D$114,"SC")</f>
        <v/>
      </c>
      <c r="G10">
        <f>SUM(C10:F10)</f>
        <v/>
      </c>
    </row>
    <row r="11">
      <c r="B11" s="4" t="inlineStr">
        <is>
          <t>Human: PPG</t>
        </is>
      </c>
      <c r="C11">
        <f>COUNTIFS('R2 Chunk Dominant'!$B$2:$B$114,"PPG",'R2 Chunk Dominant'!$D$2:$D$114,"PS")</f>
        <v/>
      </c>
      <c r="D11">
        <f>COUNTIFS('R2 Chunk Dominant'!$B$2:$B$114,"PPG",'R2 Chunk Dominant'!$D$2:$D$114,"DS")</f>
        <v/>
      </c>
      <c r="E11">
        <f>COUNTIFS('R2 Chunk Dominant'!$B$2:$B$114,"PPG",'R2 Chunk Dominant'!$D$2:$D$114,"PPG")</f>
        <v/>
      </c>
      <c r="F11">
        <f>COUNTIFS('R2 Chunk Dominant'!$B$2:$B$114,"PPG",'R2 Chunk Dominant'!$D$2:$D$114,"SC")</f>
        <v/>
      </c>
      <c r="G11">
        <f>SUM(C11:F11)</f>
        <v/>
      </c>
    </row>
    <row r="12">
      <c r="B12" s="4" t="inlineStr">
        <is>
          <t>Human: SC</t>
        </is>
      </c>
      <c r="C12">
        <f>COUNTIFS('R2 Chunk Dominant'!$B$2:$B$114,"SC",'R2 Chunk Dominant'!$D$2:$D$114,"PS")</f>
        <v/>
      </c>
      <c r="D12">
        <f>COUNTIFS('R2 Chunk Dominant'!$B$2:$B$114,"SC",'R2 Chunk Dominant'!$D$2:$D$114,"DS")</f>
        <v/>
      </c>
      <c r="E12">
        <f>COUNTIFS('R2 Chunk Dominant'!$B$2:$B$114,"SC",'R2 Chunk Dominant'!$D$2:$D$114,"PPG")</f>
        <v/>
      </c>
      <c r="F12">
        <f>COUNTIFS('R2 Chunk Dominant'!$B$2:$B$114,"SC",'R2 Chunk Dominant'!$D$2:$D$114,"SC")</f>
        <v/>
      </c>
      <c r="G12">
        <f>SUM(C12:F12)</f>
        <v/>
      </c>
    </row>
    <row r="13">
      <c r="B13" s="3" t="inlineStr">
        <is>
          <t>Col total</t>
        </is>
      </c>
      <c r="C13">
        <f>SUM(C9:C12)</f>
        <v/>
      </c>
      <c r="D13">
        <f>SUM(D9:D12)</f>
        <v/>
      </c>
      <c r="E13">
        <f>SUM(E9:E12)</f>
        <v/>
      </c>
      <c r="F13">
        <f>SUM(F9:F12)</f>
        <v/>
      </c>
      <c r="G13">
        <f>SUM(G9:G12)</f>
        <v/>
      </c>
    </row>
    <row r="15">
      <c r="B15" s="4" t="inlineStr">
        <is>
          <t>Expected under independence</t>
        </is>
      </c>
    </row>
    <row r="16">
      <c r="C16">
        <f>$G9*C$13/$G$13</f>
        <v/>
      </c>
      <c r="D16">
        <f>$G9*D$13/$G$13</f>
        <v/>
      </c>
      <c r="E16">
        <f>$G9*E$13/$G$13</f>
        <v/>
      </c>
      <c r="F16">
        <f>$G9*F$13/$G$13</f>
        <v/>
      </c>
    </row>
    <row r="17">
      <c r="C17">
        <f>$G10*C$13/$G$13</f>
        <v/>
      </c>
      <c r="D17">
        <f>$G10*D$13/$G$13</f>
        <v/>
      </c>
      <c r="E17">
        <f>$G10*E$13/$G$13</f>
        <v/>
      </c>
      <c r="F17">
        <f>$G10*F$13/$G$13</f>
        <v/>
      </c>
    </row>
    <row r="18">
      <c r="C18">
        <f>$G11*C$13/$G$13</f>
        <v/>
      </c>
      <c r="D18">
        <f>$G11*D$13/$G$13</f>
        <v/>
      </c>
      <c r="E18">
        <f>$G11*E$13/$G$13</f>
        <v/>
      </c>
      <c r="F18">
        <f>$G11*F$13/$G$13</f>
        <v/>
      </c>
    </row>
    <row r="19">
      <c r="C19">
        <f>$G12*C$13/$G$13</f>
        <v/>
      </c>
      <c r="D19">
        <f>$G12*D$13/$G$13</f>
        <v/>
      </c>
      <c r="E19">
        <f>$G12*E$13/$G$13</f>
        <v/>
      </c>
      <c r="F19">
        <f>$G12*F$13/$G$13</f>
        <v/>
      </c>
    </row>
    <row r="21">
      <c r="B21" s="4" t="inlineStr">
        <is>
          <t>Raw agreement (% chunks, matching dominant logic)</t>
        </is>
      </c>
      <c r="G21" s="7">
        <f>(C9+D10+E11+F12)/G13</f>
        <v/>
      </c>
    </row>
    <row r="22">
      <c r="B22" s="9" t="inlineStr">
        <is>
          <t>PS/DS/PPG/SC are NOMINAL categories (no established ordering), so every off-diagonal mismatch is weighted equally.</t>
        </is>
      </c>
    </row>
    <row r="23">
      <c r="B23" s="3" t="inlineStr">
        <is>
          <t>PRIMARY — standard (nominal, unweighted) Cohen’s kappa</t>
        </is>
      </c>
    </row>
    <row r="24">
      <c r="C24" t="n">
        <v>0</v>
      </c>
      <c r="D24" t="n">
        <v>1</v>
      </c>
      <c r="E24" t="n">
        <v>1</v>
      </c>
      <c r="F24" t="n">
        <v>1</v>
      </c>
    </row>
    <row r="25">
      <c r="C25" t="n">
        <v>1</v>
      </c>
      <c r="D25" t="n">
        <v>0</v>
      </c>
      <c r="E25" t="n">
        <v>1</v>
      </c>
      <c r="F25" t="n">
        <v>1</v>
      </c>
    </row>
    <row r="26">
      <c r="C26" t="n">
        <v>1</v>
      </c>
      <c r="D26" t="n">
        <v>1</v>
      </c>
      <c r="E26" t="n">
        <v>0</v>
      </c>
      <c r="F26" t="n">
        <v>1</v>
      </c>
    </row>
    <row r="27">
      <c r="C27" t="n">
        <v>1</v>
      </c>
      <c r="D27" t="n">
        <v>1</v>
      </c>
      <c r="E27" t="n">
        <v>1</v>
      </c>
      <c r="F27" t="n">
        <v>0</v>
      </c>
    </row>
    <row r="29">
      <c r="B29" s="3" t="inlineStr">
        <is>
          <t>Kappa</t>
        </is>
      </c>
      <c r="G29" s="8">
        <f>1-SUMPRODUCT(C24:F27,C9:F12)/SUMPRODUCT(C24:F27,C16:F19)</f>
        <v/>
      </c>
    </row>
    <row r="32">
      <c r="B32" s="3" t="inlineStr">
        <is>
          <t>RETIRED — quadratic ordinal weights (i−j)² — assumed PS&lt;DS&lt;PPG&lt;SC, no theoretical basis; kept only for comparison to the earlier version of this analysis</t>
        </is>
      </c>
    </row>
    <row r="33">
      <c r="C33" t="n">
        <v>0</v>
      </c>
      <c r="D33" t="n">
        <v>1</v>
      </c>
      <c r="E33" t="n">
        <v>4</v>
      </c>
      <c r="F33" t="n">
        <v>9</v>
      </c>
    </row>
    <row r="34">
      <c r="C34" t="n">
        <v>1</v>
      </c>
      <c r="D34" t="n">
        <v>0</v>
      </c>
      <c r="E34" t="n">
        <v>1</v>
      </c>
      <c r="F34" t="n">
        <v>4</v>
      </c>
    </row>
    <row r="35">
      <c r="C35" t="n">
        <v>4</v>
      </c>
      <c r="D35" t="n">
        <v>1</v>
      </c>
      <c r="E35" t="n">
        <v>0</v>
      </c>
      <c r="F35" t="n">
        <v>1</v>
      </c>
    </row>
    <row r="36">
      <c r="C36" t="n">
        <v>9</v>
      </c>
      <c r="D36" t="n">
        <v>4</v>
      </c>
      <c r="E36" t="n">
        <v>1</v>
      </c>
      <c r="F36" t="n">
        <v>0</v>
      </c>
    </row>
    <row r="38">
      <c r="B38" s="3" t="inlineStr">
        <is>
          <t>Kappa</t>
        </is>
      </c>
      <c r="G38" s="4">
        <f>1-SUMPRODUCT(C33:F36,C9:F12)/SUMPRODUCT(C33:F36,C16:F19)</f>
        <v/>
      </c>
    </row>
    <row r="41">
      <c r="B41" s="3" t="inlineStr">
        <is>
          <t>RETIRED — linear ordinal weights |i−j| — same caveat as above</t>
        </is>
      </c>
    </row>
    <row r="42">
      <c r="C42" t="n">
        <v>0</v>
      </c>
      <c r="D42" t="n">
        <v>1</v>
      </c>
      <c r="E42" t="n">
        <v>2</v>
      </c>
      <c r="F42" t="n">
        <v>3</v>
      </c>
    </row>
    <row r="43">
      <c r="C43" t="n">
        <v>1</v>
      </c>
      <c r="D43" t="n">
        <v>0</v>
      </c>
      <c r="E43" t="n">
        <v>1</v>
      </c>
      <c r="F43" t="n">
        <v>2</v>
      </c>
    </row>
    <row r="44">
      <c r="C44" t="n">
        <v>2</v>
      </c>
      <c r="D44" t="n">
        <v>1</v>
      </c>
      <c r="E44" t="n">
        <v>0</v>
      </c>
      <c r="F44" t="n">
        <v>1</v>
      </c>
    </row>
    <row r="45">
      <c r="C45" t="n">
        <v>3</v>
      </c>
      <c r="D45" t="n">
        <v>2</v>
      </c>
      <c r="E45" t="n">
        <v>1</v>
      </c>
      <c r="F45" t="n">
        <v>0</v>
      </c>
    </row>
    <row r="47">
      <c r="B47" s="3" t="inlineStr">
        <is>
          <t>Kappa</t>
        </is>
      </c>
      <c r="G47" s="4">
        <f>1-SUMPRODUCT(C42:F45,C9:F12)/SUMPRODUCT(C42:F45,C16:F19)</f>
        <v/>
      </c>
    </row>
    <row r="50">
      <c r="B50" s="3" t="inlineStr">
        <is>
          <t>B. Sensitivity — ties excluded</t>
        </is>
      </c>
    </row>
    <row r="51">
      <c r="C51" s="6" t="inlineStr">
        <is>
          <t>AI: PS</t>
        </is>
      </c>
      <c r="D51" s="6" t="inlineStr">
        <is>
          <t>AI: DS</t>
        </is>
      </c>
      <c r="E51" s="6" t="inlineStr">
        <is>
          <t>AI: PPG</t>
        </is>
      </c>
      <c r="F51" s="6" t="inlineStr">
        <is>
          <t>AI: SC</t>
        </is>
      </c>
      <c r="G51" s="6" t="inlineStr">
        <is>
          <t>Row total</t>
        </is>
      </c>
    </row>
    <row r="52">
      <c r="B52" s="4" t="inlineStr">
        <is>
          <t>Human: PS</t>
        </is>
      </c>
      <c r="C52">
        <f>COUNTIFS('R2 Chunk Dominant'!$B$2:$B$114,"PS",'R2 Chunk Dominant'!$D$2:$D$114,"PS",'R2 Chunk Dominant'!$C$2:$C$114,FALSE,'R2 Chunk Dominant'!$E$2:$E$114,FALSE)</f>
        <v/>
      </c>
      <c r="D52">
        <f>COUNTIFS('R2 Chunk Dominant'!$B$2:$B$114,"PS",'R2 Chunk Dominant'!$D$2:$D$114,"DS",'R2 Chunk Dominant'!$C$2:$C$114,FALSE,'R2 Chunk Dominant'!$E$2:$E$114,FALSE)</f>
        <v/>
      </c>
      <c r="E52">
        <f>COUNTIFS('R2 Chunk Dominant'!$B$2:$B$114,"PS",'R2 Chunk Dominant'!$D$2:$D$114,"PPG",'R2 Chunk Dominant'!$C$2:$C$114,FALSE,'R2 Chunk Dominant'!$E$2:$E$114,FALSE)</f>
        <v/>
      </c>
      <c r="F52">
        <f>COUNTIFS('R2 Chunk Dominant'!$B$2:$B$114,"PS",'R2 Chunk Dominant'!$D$2:$D$114,"SC",'R2 Chunk Dominant'!$C$2:$C$114,FALSE,'R2 Chunk Dominant'!$E$2:$E$114,FALSE)</f>
        <v/>
      </c>
      <c r="G52">
        <f>SUM(C52:F52)</f>
        <v/>
      </c>
    </row>
    <row r="53">
      <c r="B53" s="4" t="inlineStr">
        <is>
          <t>Human: DS</t>
        </is>
      </c>
      <c r="C53">
        <f>COUNTIFS('R2 Chunk Dominant'!$B$2:$B$114,"DS",'R2 Chunk Dominant'!$D$2:$D$114,"PS",'R2 Chunk Dominant'!$C$2:$C$114,FALSE,'R2 Chunk Dominant'!$E$2:$E$114,FALSE)</f>
        <v/>
      </c>
      <c r="D53">
        <f>COUNTIFS('R2 Chunk Dominant'!$B$2:$B$114,"DS",'R2 Chunk Dominant'!$D$2:$D$114,"DS",'R2 Chunk Dominant'!$C$2:$C$114,FALSE,'R2 Chunk Dominant'!$E$2:$E$114,FALSE)</f>
        <v/>
      </c>
      <c r="E53">
        <f>COUNTIFS('R2 Chunk Dominant'!$B$2:$B$114,"DS",'R2 Chunk Dominant'!$D$2:$D$114,"PPG",'R2 Chunk Dominant'!$C$2:$C$114,FALSE,'R2 Chunk Dominant'!$E$2:$E$114,FALSE)</f>
        <v/>
      </c>
      <c r="F53">
        <f>COUNTIFS('R2 Chunk Dominant'!$B$2:$B$114,"DS",'R2 Chunk Dominant'!$D$2:$D$114,"SC",'R2 Chunk Dominant'!$C$2:$C$114,FALSE,'R2 Chunk Dominant'!$E$2:$E$114,FALSE)</f>
        <v/>
      </c>
      <c r="G53">
        <f>SUM(C53:F53)</f>
        <v/>
      </c>
    </row>
    <row r="54">
      <c r="B54" s="4" t="inlineStr">
        <is>
          <t>Human: PPG</t>
        </is>
      </c>
      <c r="C54">
        <f>COUNTIFS('R2 Chunk Dominant'!$B$2:$B$114,"PPG",'R2 Chunk Dominant'!$D$2:$D$114,"PS",'R2 Chunk Dominant'!$C$2:$C$114,FALSE,'R2 Chunk Dominant'!$E$2:$E$114,FALSE)</f>
        <v/>
      </c>
      <c r="D54">
        <f>COUNTIFS('R2 Chunk Dominant'!$B$2:$B$114,"PPG",'R2 Chunk Dominant'!$D$2:$D$114,"DS",'R2 Chunk Dominant'!$C$2:$C$114,FALSE,'R2 Chunk Dominant'!$E$2:$E$114,FALSE)</f>
        <v/>
      </c>
      <c r="E54">
        <f>COUNTIFS('R2 Chunk Dominant'!$B$2:$B$114,"PPG",'R2 Chunk Dominant'!$D$2:$D$114,"PPG",'R2 Chunk Dominant'!$C$2:$C$114,FALSE,'R2 Chunk Dominant'!$E$2:$E$114,FALSE)</f>
        <v/>
      </c>
      <c r="F54">
        <f>COUNTIFS('R2 Chunk Dominant'!$B$2:$B$114,"PPG",'R2 Chunk Dominant'!$D$2:$D$114,"SC",'R2 Chunk Dominant'!$C$2:$C$114,FALSE,'R2 Chunk Dominant'!$E$2:$E$114,FALSE)</f>
        <v/>
      </c>
      <c r="G54">
        <f>SUM(C54:F54)</f>
        <v/>
      </c>
    </row>
    <row r="55">
      <c r="B55" s="4" t="inlineStr">
        <is>
          <t>Human: SC</t>
        </is>
      </c>
      <c r="C55">
        <f>COUNTIFS('R2 Chunk Dominant'!$B$2:$B$114,"SC",'R2 Chunk Dominant'!$D$2:$D$114,"PS",'R2 Chunk Dominant'!$C$2:$C$114,FALSE,'R2 Chunk Dominant'!$E$2:$E$114,FALSE)</f>
        <v/>
      </c>
      <c r="D55">
        <f>COUNTIFS('R2 Chunk Dominant'!$B$2:$B$114,"SC",'R2 Chunk Dominant'!$D$2:$D$114,"DS",'R2 Chunk Dominant'!$C$2:$C$114,FALSE,'R2 Chunk Dominant'!$E$2:$E$114,FALSE)</f>
        <v/>
      </c>
      <c r="E55">
        <f>COUNTIFS('R2 Chunk Dominant'!$B$2:$B$114,"SC",'R2 Chunk Dominant'!$D$2:$D$114,"PPG",'R2 Chunk Dominant'!$C$2:$C$114,FALSE,'R2 Chunk Dominant'!$E$2:$E$114,FALSE)</f>
        <v/>
      </c>
      <c r="F55">
        <f>COUNTIFS('R2 Chunk Dominant'!$B$2:$B$114,"SC",'R2 Chunk Dominant'!$D$2:$D$114,"SC",'R2 Chunk Dominant'!$C$2:$C$114,FALSE,'R2 Chunk Dominant'!$E$2:$E$114,FALSE)</f>
        <v/>
      </c>
      <c r="G55">
        <f>SUM(C55:F55)</f>
        <v/>
      </c>
    </row>
    <row r="56">
      <c r="B56" s="3" t="inlineStr">
        <is>
          <t>Col total</t>
        </is>
      </c>
      <c r="C56">
        <f>SUM(C52:C55)</f>
        <v/>
      </c>
      <c r="D56">
        <f>SUM(D52:D55)</f>
        <v/>
      </c>
      <c r="E56">
        <f>SUM(E52:E55)</f>
        <v/>
      </c>
      <c r="F56">
        <f>SUM(F52:F55)</f>
        <v/>
      </c>
      <c r="G56">
        <f>SUM(G52:G55)</f>
        <v/>
      </c>
    </row>
    <row r="58">
      <c r="B58" s="4" t="inlineStr">
        <is>
          <t>Expected under independence</t>
        </is>
      </c>
    </row>
    <row r="59">
      <c r="C59">
        <f>$G52*C$56/$G$56</f>
        <v/>
      </c>
      <c r="D59">
        <f>$G52*D$56/$G$56</f>
        <v/>
      </c>
      <c r="E59">
        <f>$G52*E$56/$G$56</f>
        <v/>
      </c>
      <c r="F59">
        <f>$G52*F$56/$G$56</f>
        <v/>
      </c>
    </row>
    <row r="60">
      <c r="C60">
        <f>$G53*C$56/$G$56</f>
        <v/>
      </c>
      <c r="D60">
        <f>$G53*D$56/$G$56</f>
        <v/>
      </c>
      <c r="E60">
        <f>$G53*E$56/$G$56</f>
        <v/>
      </c>
      <c r="F60">
        <f>$G53*F$56/$G$56</f>
        <v/>
      </c>
    </row>
    <row r="61">
      <c r="C61">
        <f>$G54*C$56/$G$56</f>
        <v/>
      </c>
      <c r="D61">
        <f>$G54*D$56/$G$56</f>
        <v/>
      </c>
      <c r="E61">
        <f>$G54*E$56/$G$56</f>
        <v/>
      </c>
      <c r="F61">
        <f>$G54*F$56/$G$56</f>
        <v/>
      </c>
    </row>
    <row r="62">
      <c r="C62">
        <f>$G55*C$56/$G$56</f>
        <v/>
      </c>
      <c r="D62">
        <f>$G55*D$56/$G$56</f>
        <v/>
      </c>
      <c r="E62">
        <f>$G55*E$56/$G$56</f>
        <v/>
      </c>
      <c r="F62">
        <f>$G55*F$56/$G$56</f>
        <v/>
      </c>
    </row>
    <row r="64">
      <c r="B64" s="4" t="inlineStr">
        <is>
          <t>Raw agreement (% chunks, matching dominant logic)</t>
        </is>
      </c>
      <c r="G64" s="7">
        <f>(C52+D53+E54+F55)/G56</f>
        <v/>
      </c>
    </row>
    <row r="65">
      <c r="B65" s="9" t="inlineStr">
        <is>
          <t>PS/DS/PPG/SC are NOMINAL categories (no established ordering), so every off-diagonal mismatch is weighted equally.</t>
        </is>
      </c>
    </row>
    <row r="66">
      <c r="B66" s="3" t="inlineStr">
        <is>
          <t>PRIMARY — standard (nominal, unweighted) Cohen’s kappa</t>
        </is>
      </c>
    </row>
    <row r="67">
      <c r="C67" t="n">
        <v>0</v>
      </c>
      <c r="D67" t="n">
        <v>1</v>
      </c>
      <c r="E67" t="n">
        <v>1</v>
      </c>
      <c r="F67" t="n">
        <v>1</v>
      </c>
    </row>
    <row r="68">
      <c r="C68" t="n">
        <v>1</v>
      </c>
      <c r="D68" t="n">
        <v>0</v>
      </c>
      <c r="E68" t="n">
        <v>1</v>
      </c>
      <c r="F68" t="n">
        <v>1</v>
      </c>
    </row>
    <row r="69">
      <c r="C69" t="n">
        <v>1</v>
      </c>
      <c r="D69" t="n">
        <v>1</v>
      </c>
      <c r="E69" t="n">
        <v>0</v>
      </c>
      <c r="F69" t="n">
        <v>1</v>
      </c>
    </row>
    <row r="70">
      <c r="C70" t="n">
        <v>1</v>
      </c>
      <c r="D70" t="n">
        <v>1</v>
      </c>
      <c r="E70" t="n">
        <v>1</v>
      </c>
      <c r="F70" t="n">
        <v>0</v>
      </c>
    </row>
    <row r="72">
      <c r="B72" s="3" t="inlineStr">
        <is>
          <t>Kappa</t>
        </is>
      </c>
      <c r="G72" s="8">
        <f>1-SUMPRODUCT(C67:F70,C52:F55)/SUMPRODUCT(C67:F70,C59:F62)</f>
        <v/>
      </c>
    </row>
    <row r="75">
      <c r="B75" s="3" t="inlineStr">
        <is>
          <t>RETIRED — quadratic ordinal weights (i−j)² — assumed PS&lt;DS&lt;PPG&lt;SC, no theoretical basis; kept only for comparison to the earlier version of this analysis</t>
        </is>
      </c>
    </row>
    <row r="76">
      <c r="C76" t="n">
        <v>0</v>
      </c>
      <c r="D76" t="n">
        <v>1</v>
      </c>
      <c r="E76" t="n">
        <v>4</v>
      </c>
      <c r="F76" t="n">
        <v>9</v>
      </c>
    </row>
    <row r="77">
      <c r="C77" t="n">
        <v>1</v>
      </c>
      <c r="D77" t="n">
        <v>0</v>
      </c>
      <c r="E77" t="n">
        <v>1</v>
      </c>
      <c r="F77" t="n">
        <v>4</v>
      </c>
    </row>
    <row r="78">
      <c r="C78" t="n">
        <v>4</v>
      </c>
      <c r="D78" t="n">
        <v>1</v>
      </c>
      <c r="E78" t="n">
        <v>0</v>
      </c>
      <c r="F78" t="n">
        <v>1</v>
      </c>
    </row>
    <row r="79">
      <c r="C79" t="n">
        <v>9</v>
      </c>
      <c r="D79" t="n">
        <v>4</v>
      </c>
      <c r="E79" t="n">
        <v>1</v>
      </c>
      <c r="F79" t="n">
        <v>0</v>
      </c>
    </row>
    <row r="81">
      <c r="B81" s="3" t="inlineStr">
        <is>
          <t>Kappa</t>
        </is>
      </c>
      <c r="G81" s="4">
        <f>1-SUMPRODUCT(C76:F79,C52:F55)/SUMPRODUCT(C76:F79,C59:F62)</f>
        <v/>
      </c>
    </row>
    <row r="84">
      <c r="B84" s="3" t="inlineStr">
        <is>
          <t>RETIRED — linear ordinal weights |i−j| — same caveat as above</t>
        </is>
      </c>
    </row>
    <row r="85">
      <c r="C85" t="n">
        <v>0</v>
      </c>
      <c r="D85" t="n">
        <v>1</v>
      </c>
      <c r="E85" t="n">
        <v>2</v>
      </c>
      <c r="F85" t="n">
        <v>3</v>
      </c>
    </row>
    <row r="86">
      <c r="C86" t="n">
        <v>1</v>
      </c>
      <c r="D86" t="n">
        <v>0</v>
      </c>
      <c r="E86" t="n">
        <v>1</v>
      </c>
      <c r="F86" t="n">
        <v>2</v>
      </c>
    </row>
    <row r="87">
      <c r="C87" t="n">
        <v>2</v>
      </c>
      <c r="D87" t="n">
        <v>1</v>
      </c>
      <c r="E87" t="n">
        <v>0</v>
      </c>
      <c r="F87" t="n">
        <v>1</v>
      </c>
    </row>
    <row r="88">
      <c r="C88" t="n">
        <v>3</v>
      </c>
      <c r="D88" t="n">
        <v>2</v>
      </c>
      <c r="E88" t="n">
        <v>1</v>
      </c>
      <c r="F88" t="n">
        <v>0</v>
      </c>
    </row>
    <row r="90">
      <c r="B90" s="3" t="inlineStr">
        <is>
          <t>Kappa</t>
        </is>
      </c>
      <c r="G90" s="4">
        <f>1-SUMPRODUCT(C85:F88,C52:F55)/SUMPRODUCT(C85:F88,C59:F62)</f>
        <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W11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60" customWidth="1" min="2" max="2"/>
    <col width="9" customWidth="1" min="3" max="3"/>
    <col width="9" customWidth="1" min="4" max="4"/>
    <col width="9" customWidth="1" min="5" max="5"/>
    <col width="9" customWidth="1" min="6" max="6"/>
    <col width="10"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 width="8" customWidth="1" min="21" max="21"/>
    <col width="8" customWidth="1" min="22" max="22"/>
    <col width="8" customWidth="1" min="23" max="23"/>
  </cols>
  <sheetData>
    <row r="1">
      <c r="A1" s="6" t="inlineStr">
        <is>
          <t>Chunk ID</t>
        </is>
      </c>
      <c r="B1" s="6" t="inlineStr">
        <is>
          <t>Text</t>
        </is>
      </c>
      <c r="C1" s="6" t="inlineStr">
        <is>
          <t>Human # applic.</t>
        </is>
      </c>
      <c r="D1" s="6" t="inlineStr">
        <is>
          <t>AI # applic.</t>
        </is>
      </c>
      <c r="E1" s="6" t="inlineStr">
        <is>
          <t>Human # incompl.</t>
        </is>
      </c>
      <c r="F1" s="6" t="inlineStr">
        <is>
          <t>AI # incompl.</t>
        </is>
      </c>
      <c r="G1" s="6" t="inlineStr">
        <is>
          <t>Coded by both?</t>
        </is>
      </c>
      <c r="H1" s="6" t="inlineStr">
        <is>
          <t>Human pts PS</t>
        </is>
      </c>
      <c r="I1" s="6" t="inlineStr">
        <is>
          <t>Human pts DS</t>
        </is>
      </c>
      <c r="J1" s="6" t="inlineStr">
        <is>
          <t>Human pts PPG</t>
        </is>
      </c>
      <c r="K1" s="6" t="inlineStr">
        <is>
          <t>Human pts SC</t>
        </is>
      </c>
      <c r="L1" s="6" t="inlineStr">
        <is>
          <t>AI pts PS</t>
        </is>
      </c>
      <c r="M1" s="6" t="inlineStr">
        <is>
          <t>AI pts DS</t>
        </is>
      </c>
      <c r="N1" s="6" t="inlineStr">
        <is>
          <t>AI pts PPG</t>
        </is>
      </c>
      <c r="O1" s="6" t="inlineStr">
        <is>
          <t>AI pts SC</t>
        </is>
      </c>
      <c r="P1" s="6" t="inlineStr">
        <is>
          <t>Human % PS</t>
        </is>
      </c>
      <c r="Q1" s="6" t="inlineStr">
        <is>
          <t>Human % DS</t>
        </is>
      </c>
      <c r="R1" s="6" t="inlineStr">
        <is>
          <t>Human % PPG</t>
        </is>
      </c>
      <c r="S1" s="6" t="inlineStr">
        <is>
          <t>Human % SC</t>
        </is>
      </c>
      <c r="T1" s="6" t="inlineStr">
        <is>
          <t>AI % PS</t>
        </is>
      </c>
      <c r="U1" s="6" t="inlineStr">
        <is>
          <t>AI % DS</t>
        </is>
      </c>
      <c r="V1" s="6" t="inlineStr">
        <is>
          <t>AI % PPG</t>
        </is>
      </c>
      <c r="W1" s="6" t="inlineStr">
        <is>
          <t>AI % SC</t>
        </is>
      </c>
    </row>
    <row r="2">
      <c r="A2" t="n">
        <v>1</v>
      </c>
      <c r="B2" t="inlineStr">
        <is>
          <t>In 2021, [community_foundation_tag] saw a record number of new funds, scholarships and charitable gift annuities established including:</t>
        </is>
      </c>
      <c r="C2" t="n">
        <v>1</v>
      </c>
      <c r="D2" t="n">
        <v>2</v>
      </c>
      <c r="E2" t="n">
        <v>0</v>
      </c>
      <c r="F2" t="n">
        <v>0</v>
      </c>
      <c r="G2" t="b">
        <v>1</v>
      </c>
      <c r="H2" t="n">
        <v>2</v>
      </c>
      <c r="I2" t="n">
        <v>0</v>
      </c>
      <c r="J2" t="n">
        <v>0</v>
      </c>
      <c r="K2" t="n">
        <v>0</v>
      </c>
      <c r="L2" t="n">
        <v>2</v>
      </c>
      <c r="M2" t="n">
        <v>4</v>
      </c>
      <c r="N2" t="n">
        <v>0</v>
      </c>
      <c r="O2" t="n">
        <v>0</v>
      </c>
      <c r="P2" s="7">
        <f>IF(SUM(H2:K2)=0,"",H2/SUM(H2:K2))</f>
        <v/>
      </c>
      <c r="Q2" s="7">
        <f>IF(SUM(H2:K2)=0,"",I2/SUM(H2:K2))</f>
        <v/>
      </c>
      <c r="R2" s="7">
        <f>IF(SUM(H2:K2)=0,"",J2/SUM(H2:K2))</f>
        <v/>
      </c>
      <c r="S2" s="7">
        <f>IF(SUM(H2:K2)=0,"",K2/SUM(H2:K2))</f>
        <v/>
      </c>
      <c r="T2" s="7">
        <f>IF(SUM(L2:O2)=0,"",L2/SUM(L2:O2))</f>
        <v/>
      </c>
      <c r="U2" s="7">
        <f>IF(SUM(L2:O2)=0,"",M2/SUM(L2:O2))</f>
        <v/>
      </c>
      <c r="V2" s="7">
        <f>IF(SUM(L2:O2)=0,"",N2/SUM(L2:O2))</f>
        <v/>
      </c>
      <c r="W2" s="7">
        <f>IF(SUM(L2:O2)=0,"",O2/SUM(L2:O2))</f>
        <v/>
      </c>
    </row>
    <row r="3">
      <c r="A3" t="n">
        <v>2</v>
      </c>
      <c r="B3" t="inlineStr">
        <is>
          <t>The Clare Wilson Honorary Fund</t>
        </is>
      </c>
      <c r="C3" t="n">
        <v>0</v>
      </c>
      <c r="D3" t="n">
        <v>1</v>
      </c>
      <c r="E3" t="n">
        <v>0</v>
      </c>
      <c r="F3" t="n">
        <v>0</v>
      </c>
      <c r="G3" t="b">
        <v>0</v>
      </c>
      <c r="H3" t="n">
        <v>0</v>
      </c>
      <c r="I3" t="n">
        <v>0</v>
      </c>
      <c r="J3" t="n">
        <v>0</v>
      </c>
      <c r="K3" t="n">
        <v>0</v>
      </c>
      <c r="L3" t="n">
        <v>2</v>
      </c>
      <c r="M3" t="n">
        <v>1</v>
      </c>
      <c r="N3" t="n">
        <v>0</v>
      </c>
      <c r="O3" t="n">
        <v>0</v>
      </c>
      <c r="P3" s="7">
        <f>IF(SUM(H3:K3)=0,"",H3/SUM(H3:K3))</f>
        <v/>
      </c>
      <c r="Q3" s="7">
        <f>IF(SUM(H3:K3)=0,"",I3/SUM(H3:K3))</f>
        <v/>
      </c>
      <c r="R3" s="7">
        <f>IF(SUM(H3:K3)=0,"",J3/SUM(H3:K3))</f>
        <v/>
      </c>
      <c r="S3" s="7">
        <f>IF(SUM(H3:K3)=0,"",K3/SUM(H3:K3))</f>
        <v/>
      </c>
      <c r="T3" s="7">
        <f>IF(SUM(L3:O3)=0,"",L3/SUM(L3:O3))</f>
        <v/>
      </c>
      <c r="U3" s="7">
        <f>IF(SUM(L3:O3)=0,"",M3/SUM(L3:O3))</f>
        <v/>
      </c>
      <c r="V3" s="7">
        <f>IF(SUM(L3:O3)=0,"",N3/SUM(L3:O3))</f>
        <v/>
      </c>
      <c r="W3" s="7">
        <f>IF(SUM(L3:O3)=0,"",O3/SUM(L3:O3))</f>
        <v/>
      </c>
    </row>
    <row r="4">
      <c r="A4" t="n">
        <v>3</v>
      </c>
      <c r="B4" t="inlineStr">
        <is>
          <t>To honor his legacy of service, Fuller Hose Company established the Clare Wilson Fund.</t>
        </is>
      </c>
      <c r="C4" t="n">
        <v>1</v>
      </c>
      <c r="D4" t="n">
        <v>1</v>
      </c>
      <c r="E4" t="n">
        <v>0</v>
      </c>
      <c r="F4" t="n">
        <v>0</v>
      </c>
      <c r="G4" t="b">
        <v>1</v>
      </c>
      <c r="H4" t="n">
        <v>0</v>
      </c>
      <c r="I4" t="n">
        <v>2</v>
      </c>
      <c r="J4" t="n">
        <v>0</v>
      </c>
      <c r="K4" t="n">
        <v>0</v>
      </c>
      <c r="L4" t="n">
        <v>2</v>
      </c>
      <c r="M4" t="n">
        <v>1</v>
      </c>
      <c r="N4" t="n">
        <v>0</v>
      </c>
      <c r="O4" t="n">
        <v>0</v>
      </c>
      <c r="P4" s="7">
        <f>IF(SUM(H4:K4)=0,"",H4/SUM(H4:K4))</f>
        <v/>
      </c>
      <c r="Q4" s="7">
        <f>IF(SUM(H4:K4)=0,"",I4/SUM(H4:K4))</f>
        <v/>
      </c>
      <c r="R4" s="7">
        <f>IF(SUM(H4:K4)=0,"",J4/SUM(H4:K4))</f>
        <v/>
      </c>
      <c r="S4" s="7">
        <f>IF(SUM(H4:K4)=0,"",K4/SUM(H4:K4))</f>
        <v/>
      </c>
      <c r="T4" s="7">
        <f>IF(SUM(L4:O4)=0,"",L4/SUM(L4:O4))</f>
        <v/>
      </c>
      <c r="U4" s="7">
        <f>IF(SUM(L4:O4)=0,"",M4/SUM(L4:O4))</f>
        <v/>
      </c>
      <c r="V4" s="7">
        <f>IF(SUM(L4:O4)=0,"",N4/SUM(L4:O4))</f>
        <v/>
      </c>
      <c r="W4" s="7">
        <f>IF(SUM(L4:O4)=0,"",O4/SUM(L4:O4))</f>
        <v/>
      </c>
    </row>
    <row r="5">
      <c r="A5" t="n">
        <v>4</v>
      </c>
      <c r="B5" t="inlineStr">
        <is>
          <t>The fund helps the fire company in two critical ways: meeting immediate equipment needs and ensuring that funds will be there in the future to support the changing needs of the community. In December 2021, thanks to the Clare Wilson Fund, the department received a much-needed new piece of equipment - an F550 multipurpose truck that will assist in brush fires and water rescues.</t>
        </is>
      </c>
      <c r="C5" t="n">
        <v>1</v>
      </c>
      <c r="D5" t="n">
        <v>4</v>
      </c>
      <c r="E5" t="n">
        <v>0</v>
      </c>
      <c r="F5" t="n">
        <v>0</v>
      </c>
      <c r="G5" t="b">
        <v>1</v>
      </c>
      <c r="H5" t="n">
        <v>1</v>
      </c>
      <c r="I5" t="n">
        <v>0</v>
      </c>
      <c r="J5" t="n">
        <v>2</v>
      </c>
      <c r="K5" t="n">
        <v>0</v>
      </c>
      <c r="L5" t="n">
        <v>7</v>
      </c>
      <c r="M5" t="n">
        <v>1</v>
      </c>
      <c r="N5" t="n">
        <v>4</v>
      </c>
      <c r="O5" t="n">
        <v>0</v>
      </c>
      <c r="P5" s="7">
        <f>IF(SUM(H5:K5)=0,"",H5/SUM(H5:K5))</f>
        <v/>
      </c>
      <c r="Q5" s="7">
        <f>IF(SUM(H5:K5)=0,"",I5/SUM(H5:K5))</f>
        <v/>
      </c>
      <c r="R5" s="7">
        <f>IF(SUM(H5:K5)=0,"",J5/SUM(H5:K5))</f>
        <v/>
      </c>
      <c r="S5" s="7">
        <f>IF(SUM(H5:K5)=0,"",K5/SUM(H5:K5))</f>
        <v/>
      </c>
      <c r="T5" s="7">
        <f>IF(SUM(L5:O5)=0,"",L5/SUM(L5:O5))</f>
        <v/>
      </c>
      <c r="U5" s="7">
        <f>IF(SUM(L5:O5)=0,"",M5/SUM(L5:O5))</f>
        <v/>
      </c>
      <c r="V5" s="7">
        <f>IF(SUM(L5:O5)=0,"",N5/SUM(L5:O5))</f>
        <v/>
      </c>
      <c r="W5" s="7">
        <f>IF(SUM(L5:O5)=0,"",O5/SUM(L5:O5))</f>
        <v/>
      </c>
    </row>
    <row r="6">
      <c r="A6" t="n">
        <v>5</v>
      </c>
      <c r="B6" t="inlineStr">
        <is>
          <t>The John Manville &amp;amp; Frieda Bodendorfer Phillips Fund</t>
        </is>
      </c>
      <c r="C6" t="n">
        <v>0</v>
      </c>
      <c r="D6" t="n">
        <v>1</v>
      </c>
      <c r="E6" t="n">
        <v>0</v>
      </c>
      <c r="F6" t="n">
        <v>0</v>
      </c>
      <c r="G6" t="b">
        <v>0</v>
      </c>
      <c r="H6" t="n">
        <v>0</v>
      </c>
      <c r="I6" t="n">
        <v>0</v>
      </c>
      <c r="J6" t="n">
        <v>0</v>
      </c>
      <c r="K6" t="n">
        <v>0</v>
      </c>
      <c r="L6" t="n">
        <v>1</v>
      </c>
      <c r="M6" t="n">
        <v>2</v>
      </c>
      <c r="N6" t="n">
        <v>0</v>
      </c>
      <c r="O6" t="n">
        <v>0</v>
      </c>
      <c r="P6" s="7">
        <f>IF(SUM(H6:K6)=0,"",H6/SUM(H6:K6))</f>
        <v/>
      </c>
      <c r="Q6" s="7">
        <f>IF(SUM(H6:K6)=0,"",I6/SUM(H6:K6))</f>
        <v/>
      </c>
      <c r="R6" s="7">
        <f>IF(SUM(H6:K6)=0,"",J6/SUM(H6:K6))</f>
        <v/>
      </c>
      <c r="S6" s="7">
        <f>IF(SUM(H6:K6)=0,"",K6/SUM(H6:K6))</f>
        <v/>
      </c>
      <c r="T6" s="7">
        <f>IF(SUM(L6:O6)=0,"",L6/SUM(L6:O6))</f>
        <v/>
      </c>
      <c r="U6" s="7">
        <f>IF(SUM(L6:O6)=0,"",M6/SUM(L6:O6))</f>
        <v/>
      </c>
      <c r="V6" s="7">
        <f>IF(SUM(L6:O6)=0,"",N6/SUM(L6:O6))</f>
        <v/>
      </c>
      <c r="W6" s="7">
        <f>IF(SUM(L6:O6)=0,"",O6/SUM(L6:O6))</f>
        <v/>
      </c>
    </row>
    <row r="7">
      <c r="A7" t="n">
        <v>6</v>
      </c>
      <c r="B7" t="inlineStr">
        <is>
          <t>The  fund  was  created  by  [individual_tag]  and  [individual_tag]  to  honor  family members'  contributions  to  the  community.</t>
        </is>
      </c>
      <c r="C7" t="n">
        <v>1</v>
      </c>
      <c r="D7" t="n">
        <v>2</v>
      </c>
      <c r="E7" t="n">
        <v>0</v>
      </c>
      <c r="F7" t="n">
        <v>0</v>
      </c>
      <c r="G7" t="b">
        <v>1</v>
      </c>
      <c r="H7" t="n">
        <v>0</v>
      </c>
      <c r="I7" t="n">
        <v>2</v>
      </c>
      <c r="J7" t="n">
        <v>0</v>
      </c>
      <c r="K7" t="n">
        <v>0</v>
      </c>
      <c r="L7" t="n">
        <v>4</v>
      </c>
      <c r="M7" t="n">
        <v>2</v>
      </c>
      <c r="N7" t="n">
        <v>0</v>
      </c>
      <c r="O7" t="n">
        <v>0</v>
      </c>
      <c r="P7" s="7">
        <f>IF(SUM(H7:K7)=0,"",H7/SUM(H7:K7))</f>
        <v/>
      </c>
      <c r="Q7" s="7">
        <f>IF(SUM(H7:K7)=0,"",I7/SUM(H7:K7))</f>
        <v/>
      </c>
      <c r="R7" s="7">
        <f>IF(SUM(H7:K7)=0,"",J7/SUM(H7:K7))</f>
        <v/>
      </c>
      <c r="S7" s="7">
        <f>IF(SUM(H7:K7)=0,"",K7/SUM(H7:K7))</f>
        <v/>
      </c>
      <c r="T7" s="7">
        <f>IF(SUM(L7:O7)=0,"",L7/SUM(L7:O7))</f>
        <v/>
      </c>
      <c r="U7" s="7">
        <f>IF(SUM(L7:O7)=0,"",M7/SUM(L7:O7))</f>
        <v/>
      </c>
      <c r="V7" s="7">
        <f>IF(SUM(L7:O7)=0,"",N7/SUM(L7:O7))</f>
        <v/>
      </c>
      <c r="W7" s="7">
        <f>IF(SUM(L7:O7)=0,"",O7/SUM(L7:O7))</f>
        <v/>
      </c>
    </row>
    <row r="8">
      <c r="A8" t="n">
        <v>7</v>
      </c>
      <c r="B8" t="inlineStr">
        <is>
          <t>Funds  will  be  used  to  support qualified and deserving non-profit organizations whose activities and mission address agriculture and/or food related education, projects and needs.</t>
        </is>
      </c>
      <c r="C8" t="n">
        <v>1</v>
      </c>
      <c r="D8" t="n">
        <v>3</v>
      </c>
      <c r="E8" t="n">
        <v>0</v>
      </c>
      <c r="F8" t="n">
        <v>0</v>
      </c>
      <c r="G8" t="b">
        <v>1</v>
      </c>
      <c r="H8" t="n">
        <v>0</v>
      </c>
      <c r="I8" t="n">
        <v>2</v>
      </c>
      <c r="J8" t="n">
        <v>0</v>
      </c>
      <c r="K8" t="n">
        <v>0</v>
      </c>
      <c r="L8" t="n">
        <v>3</v>
      </c>
      <c r="M8" t="n">
        <v>6</v>
      </c>
      <c r="N8" t="n">
        <v>0</v>
      </c>
      <c r="O8" t="n">
        <v>0</v>
      </c>
      <c r="P8" s="7">
        <f>IF(SUM(H8:K8)=0,"",H8/SUM(H8:K8))</f>
        <v/>
      </c>
      <c r="Q8" s="7">
        <f>IF(SUM(H8:K8)=0,"",I8/SUM(H8:K8))</f>
        <v/>
      </c>
      <c r="R8" s="7">
        <f>IF(SUM(H8:K8)=0,"",J8/SUM(H8:K8))</f>
        <v/>
      </c>
      <c r="S8" s="7">
        <f>IF(SUM(H8:K8)=0,"",K8/SUM(H8:K8))</f>
        <v/>
      </c>
      <c r="T8" s="7">
        <f>IF(SUM(L8:O8)=0,"",L8/SUM(L8:O8))</f>
        <v/>
      </c>
      <c r="U8" s="7">
        <f>IF(SUM(L8:O8)=0,"",M8/SUM(L8:O8))</f>
        <v/>
      </c>
      <c r="V8" s="7">
        <f>IF(SUM(L8:O8)=0,"",N8/SUM(L8:O8))</f>
        <v/>
      </c>
      <c r="W8" s="7">
        <f>IF(SUM(L8:O8)=0,"",O8/SUM(L8:O8))</f>
        <v/>
      </c>
    </row>
    <row r="9">
      <c r="A9" t="n">
        <v>8</v>
      </c>
      <c r="B9" t="inlineStr">
        <is>
          <t>The Miller Family Scholarship Fund</t>
        </is>
      </c>
      <c r="C9" t="n">
        <v>0</v>
      </c>
      <c r="D9" t="n">
        <v>1</v>
      </c>
      <c r="E9" t="n">
        <v>0</v>
      </c>
      <c r="F9" t="n">
        <v>0</v>
      </c>
      <c r="G9" t="b">
        <v>0</v>
      </c>
      <c r="H9" t="n">
        <v>0</v>
      </c>
      <c r="I9" t="n">
        <v>0</v>
      </c>
      <c r="J9" t="n">
        <v>0</v>
      </c>
      <c r="K9" t="n">
        <v>0</v>
      </c>
      <c r="L9" t="n">
        <v>1</v>
      </c>
      <c r="M9" t="n">
        <v>2</v>
      </c>
      <c r="N9" t="n">
        <v>0</v>
      </c>
      <c r="O9" t="n">
        <v>0</v>
      </c>
      <c r="P9" s="7">
        <f>IF(SUM(H9:K9)=0,"",H9/SUM(H9:K9))</f>
        <v/>
      </c>
      <c r="Q9" s="7">
        <f>IF(SUM(H9:K9)=0,"",I9/SUM(H9:K9))</f>
        <v/>
      </c>
      <c r="R9" s="7">
        <f>IF(SUM(H9:K9)=0,"",J9/SUM(H9:K9))</f>
        <v/>
      </c>
      <c r="S9" s="7">
        <f>IF(SUM(H9:K9)=0,"",K9/SUM(H9:K9))</f>
        <v/>
      </c>
      <c r="T9" s="7">
        <f>IF(SUM(L9:O9)=0,"",L9/SUM(L9:O9))</f>
        <v/>
      </c>
      <c r="U9" s="7">
        <f>IF(SUM(L9:O9)=0,"",M9/SUM(L9:O9))</f>
        <v/>
      </c>
      <c r="V9" s="7">
        <f>IF(SUM(L9:O9)=0,"",N9/SUM(L9:O9))</f>
        <v/>
      </c>
      <c r="W9" s="7">
        <f>IF(SUM(L9:O9)=0,"",O9/SUM(L9:O9))</f>
        <v/>
      </c>
    </row>
    <row r="10">
      <c r="A10" t="n">
        <v>9</v>
      </c>
      <c r="B10" t="inlineStr">
        <is>
          <t>For decades, the late [individual_tag] and his family have provided scholarships to students in North East.</t>
        </is>
      </c>
      <c r="C10" t="n">
        <v>1</v>
      </c>
      <c r="D10" t="n">
        <v>2</v>
      </c>
      <c r="E10" t="n">
        <v>0</v>
      </c>
      <c r="F10" t="n">
        <v>0</v>
      </c>
      <c r="G10" t="b">
        <v>1</v>
      </c>
      <c r="H10" t="n">
        <v>0</v>
      </c>
      <c r="I10" t="n">
        <v>2</v>
      </c>
      <c r="J10" t="n">
        <v>0</v>
      </c>
      <c r="K10" t="n">
        <v>0</v>
      </c>
      <c r="L10" t="n">
        <v>3</v>
      </c>
      <c r="M10" t="n">
        <v>3</v>
      </c>
      <c r="N10" t="n">
        <v>0</v>
      </c>
      <c r="O10" t="n">
        <v>0</v>
      </c>
      <c r="P10" s="7">
        <f>IF(SUM(H10:K10)=0,"",H10/SUM(H10:K10))</f>
        <v/>
      </c>
      <c r="Q10" s="7">
        <f>IF(SUM(H10:K10)=0,"",I10/SUM(H10:K10))</f>
        <v/>
      </c>
      <c r="R10" s="7">
        <f>IF(SUM(H10:K10)=0,"",J10/SUM(H10:K10))</f>
        <v/>
      </c>
      <c r="S10" s="7">
        <f>IF(SUM(H10:K10)=0,"",K10/SUM(H10:K10))</f>
        <v/>
      </c>
      <c r="T10" s="7">
        <f>IF(SUM(L10:O10)=0,"",L10/SUM(L10:O10))</f>
        <v/>
      </c>
      <c r="U10" s="7">
        <f>IF(SUM(L10:O10)=0,"",M10/SUM(L10:O10))</f>
        <v/>
      </c>
      <c r="V10" s="7">
        <f>IF(SUM(L10:O10)=0,"",N10/SUM(L10:O10))</f>
        <v/>
      </c>
      <c r="W10" s="7">
        <f>IF(SUM(L10:O10)=0,"",O10/SUM(L10:O10))</f>
        <v/>
      </c>
    </row>
    <row r="11">
      <c r="A11" t="n">
        <v>10</v>
      </c>
      <c r="B11" t="inlineStr">
        <is>
          <t>In 2021, they opted to continue this long-standing tradition by partnering with [community_foundation_tag].</t>
        </is>
      </c>
      <c r="C11" t="n">
        <v>1</v>
      </c>
      <c r="D11" t="n">
        <v>2</v>
      </c>
      <c r="E11" t="n">
        <v>0</v>
      </c>
      <c r="F11" t="n">
        <v>0</v>
      </c>
      <c r="G11" t="b">
        <v>1</v>
      </c>
      <c r="H11" t="n">
        <v>0</v>
      </c>
      <c r="I11" t="n">
        <v>2</v>
      </c>
      <c r="J11" t="n">
        <v>0</v>
      </c>
      <c r="K11" t="n">
        <v>0</v>
      </c>
      <c r="L11" t="n">
        <v>3</v>
      </c>
      <c r="M11" t="n">
        <v>3</v>
      </c>
      <c r="N11" t="n">
        <v>0</v>
      </c>
      <c r="O11" t="n">
        <v>0</v>
      </c>
      <c r="P11" s="7">
        <f>IF(SUM(H11:K11)=0,"",H11/SUM(H11:K11))</f>
        <v/>
      </c>
      <c r="Q11" s="7">
        <f>IF(SUM(H11:K11)=0,"",I11/SUM(H11:K11))</f>
        <v/>
      </c>
      <c r="R11" s="7">
        <f>IF(SUM(H11:K11)=0,"",J11/SUM(H11:K11))</f>
        <v/>
      </c>
      <c r="S11" s="7">
        <f>IF(SUM(H11:K11)=0,"",K11/SUM(H11:K11))</f>
        <v/>
      </c>
      <c r="T11" s="7">
        <f>IF(SUM(L11:O11)=0,"",L11/SUM(L11:O11))</f>
        <v/>
      </c>
      <c r="U11" s="7">
        <f>IF(SUM(L11:O11)=0,"",M11/SUM(L11:O11))</f>
        <v/>
      </c>
      <c r="V11" s="7">
        <f>IF(SUM(L11:O11)=0,"",N11/SUM(L11:O11))</f>
        <v/>
      </c>
      <c r="W11" s="7">
        <f>IF(SUM(L11:O11)=0,"",O11/SUM(L11:O11))</f>
        <v/>
      </c>
    </row>
    <row r="12">
      <c r="A12" t="n">
        <v>11</v>
      </c>
      <c r="B12" t="inlineStr">
        <is>
          <t>The Miller Family Scholarship is unique in that it is available to students of any age pursuing 2-year, 4-year or vocational education.</t>
        </is>
      </c>
      <c r="C12" t="n">
        <v>0</v>
      </c>
      <c r="D12" t="n">
        <v>3</v>
      </c>
      <c r="E12" t="n">
        <v>0</v>
      </c>
      <c r="F12" t="n">
        <v>0</v>
      </c>
      <c r="G12" t="b">
        <v>0</v>
      </c>
      <c r="H12" t="n">
        <v>0</v>
      </c>
      <c r="I12" t="n">
        <v>0</v>
      </c>
      <c r="J12" t="n">
        <v>0</v>
      </c>
      <c r="K12" t="n">
        <v>0</v>
      </c>
      <c r="L12" t="n">
        <v>0</v>
      </c>
      <c r="M12" t="n">
        <v>6</v>
      </c>
      <c r="N12" t="n">
        <v>0</v>
      </c>
      <c r="O12" t="n">
        <v>3</v>
      </c>
      <c r="P12" s="7">
        <f>IF(SUM(H12:K12)=0,"",H12/SUM(H12:K12))</f>
        <v/>
      </c>
      <c r="Q12" s="7">
        <f>IF(SUM(H12:K12)=0,"",I12/SUM(H12:K12))</f>
        <v/>
      </c>
      <c r="R12" s="7">
        <f>IF(SUM(H12:K12)=0,"",J12/SUM(H12:K12))</f>
        <v/>
      </c>
      <c r="S12" s="7">
        <f>IF(SUM(H12:K12)=0,"",K12/SUM(H12:K12))</f>
        <v/>
      </c>
      <c r="T12" s="7">
        <f>IF(SUM(L12:O12)=0,"",L12/SUM(L12:O12))</f>
        <v/>
      </c>
      <c r="U12" s="7">
        <f>IF(SUM(L12:O12)=0,"",M12/SUM(L12:O12))</f>
        <v/>
      </c>
      <c r="V12" s="7">
        <f>IF(SUM(L12:O12)=0,"",N12/SUM(L12:O12))</f>
        <v/>
      </c>
      <c r="W12" s="7">
        <f>IF(SUM(L12:O12)=0,"",O12/SUM(L12:O12))</f>
        <v/>
      </c>
    </row>
    <row r="13">
      <c r="A13" t="n">
        <v>12</v>
      </c>
      <c r="B13" t="inlineStr">
        <is>
          <t>The Susan Valone MD Memorial Scholarship [individual_tag]  was  raised  in  North  East  and  went  on  to  become  an  infectious disease specialist  in  Colorado.</t>
        </is>
      </c>
      <c r="C13" t="n">
        <v>0</v>
      </c>
      <c r="D13" t="n">
        <v>1</v>
      </c>
      <c r="E13" t="n">
        <v>0</v>
      </c>
      <c r="F13" t="n">
        <v>0</v>
      </c>
      <c r="G13" t="b">
        <v>0</v>
      </c>
      <c r="H13" t="n">
        <v>0</v>
      </c>
      <c r="I13" t="n">
        <v>0</v>
      </c>
      <c r="J13" t="n">
        <v>0</v>
      </c>
      <c r="K13" t="n">
        <v>0</v>
      </c>
      <c r="L13" t="n">
        <v>2</v>
      </c>
      <c r="M13" t="n">
        <v>1</v>
      </c>
      <c r="N13" t="n">
        <v>0</v>
      </c>
      <c r="O13" t="n">
        <v>0</v>
      </c>
      <c r="P13" s="7">
        <f>IF(SUM(H13:K13)=0,"",H13/SUM(H13:K13))</f>
        <v/>
      </c>
      <c r="Q13" s="7">
        <f>IF(SUM(H13:K13)=0,"",I13/SUM(H13:K13))</f>
        <v/>
      </c>
      <c r="R13" s="7">
        <f>IF(SUM(H13:K13)=0,"",J13/SUM(H13:K13))</f>
        <v/>
      </c>
      <c r="S13" s="7">
        <f>IF(SUM(H13:K13)=0,"",K13/SUM(H13:K13))</f>
        <v/>
      </c>
      <c r="T13" s="7">
        <f>IF(SUM(L13:O13)=0,"",L13/SUM(L13:O13))</f>
        <v/>
      </c>
      <c r="U13" s="7">
        <f>IF(SUM(L13:O13)=0,"",M13/SUM(L13:O13))</f>
        <v/>
      </c>
      <c r="V13" s="7">
        <f>IF(SUM(L13:O13)=0,"",N13/SUM(L13:O13))</f>
        <v/>
      </c>
      <c r="W13" s="7">
        <f>IF(SUM(L13:O13)=0,"",O13/SUM(L13:O13))</f>
        <v/>
      </c>
    </row>
    <row r="14">
      <c r="A14" t="n">
        <v>13</v>
      </c>
      <c r="B14" t="inlineStr">
        <is>
          <t>Her  family  established  the  scholarship  in her memory.</t>
        </is>
      </c>
      <c r="C14" t="n">
        <v>1</v>
      </c>
      <c r="D14" t="n">
        <v>1</v>
      </c>
      <c r="E14" t="n">
        <v>0</v>
      </c>
      <c r="F14" t="n">
        <v>0</v>
      </c>
      <c r="G14" t="b">
        <v>1</v>
      </c>
      <c r="H14" t="n">
        <v>0</v>
      </c>
      <c r="I14" t="n">
        <v>2</v>
      </c>
      <c r="J14" t="n">
        <v>0</v>
      </c>
      <c r="K14" t="n">
        <v>0</v>
      </c>
      <c r="L14" t="n">
        <v>1</v>
      </c>
      <c r="M14" t="n">
        <v>2</v>
      </c>
      <c r="N14" t="n">
        <v>0</v>
      </c>
      <c r="O14" t="n">
        <v>0</v>
      </c>
      <c r="P14" s="7">
        <f>IF(SUM(H14:K14)=0,"",H14/SUM(H14:K14))</f>
        <v/>
      </c>
      <c r="Q14" s="7">
        <f>IF(SUM(H14:K14)=0,"",I14/SUM(H14:K14))</f>
        <v/>
      </c>
      <c r="R14" s="7">
        <f>IF(SUM(H14:K14)=0,"",J14/SUM(H14:K14))</f>
        <v/>
      </c>
      <c r="S14" s="7">
        <f>IF(SUM(H14:K14)=0,"",K14/SUM(H14:K14))</f>
        <v/>
      </c>
      <c r="T14" s="7">
        <f>IF(SUM(L14:O14)=0,"",L14/SUM(L14:O14))</f>
        <v/>
      </c>
      <c r="U14" s="7">
        <f>IF(SUM(L14:O14)=0,"",M14/SUM(L14:O14))</f>
        <v/>
      </c>
      <c r="V14" s="7">
        <f>IF(SUM(L14:O14)=0,"",N14/SUM(L14:O14))</f>
        <v/>
      </c>
      <c r="W14" s="7">
        <f>IF(SUM(L14:O14)=0,"",O14/SUM(L14:O14))</f>
        <v/>
      </c>
    </row>
    <row r="15">
      <c r="A15" t="n">
        <v>14</v>
      </c>
      <c r="B15" t="inlineStr">
        <is>
          <t>It will be awarded to students entering a career in healthcare.</t>
        </is>
      </c>
      <c r="C15" t="n">
        <v>1</v>
      </c>
      <c r="D15" t="n">
        <v>3</v>
      </c>
      <c r="E15" t="n">
        <v>0</v>
      </c>
      <c r="F15" t="n">
        <v>0</v>
      </c>
      <c r="G15" t="b">
        <v>1</v>
      </c>
      <c r="H15" t="n">
        <v>0</v>
      </c>
      <c r="I15" t="n">
        <v>2</v>
      </c>
      <c r="J15" t="n">
        <v>0</v>
      </c>
      <c r="K15" t="n">
        <v>0</v>
      </c>
      <c r="L15" t="n">
        <v>2</v>
      </c>
      <c r="M15" t="n">
        <v>6</v>
      </c>
      <c r="N15" t="n">
        <v>1</v>
      </c>
      <c r="O15" t="n">
        <v>0</v>
      </c>
      <c r="P15" s="7">
        <f>IF(SUM(H15:K15)=0,"",H15/SUM(H15:K15))</f>
        <v/>
      </c>
      <c r="Q15" s="7">
        <f>IF(SUM(H15:K15)=0,"",I15/SUM(H15:K15))</f>
        <v/>
      </c>
      <c r="R15" s="7">
        <f>IF(SUM(H15:K15)=0,"",J15/SUM(H15:K15))</f>
        <v/>
      </c>
      <c r="S15" s="7">
        <f>IF(SUM(H15:K15)=0,"",K15/SUM(H15:K15))</f>
        <v/>
      </c>
      <c r="T15" s="7">
        <f>IF(SUM(L15:O15)=0,"",L15/SUM(L15:O15))</f>
        <v/>
      </c>
      <c r="U15" s="7">
        <f>IF(SUM(L15:O15)=0,"",M15/SUM(L15:O15))</f>
        <v/>
      </c>
      <c r="V15" s="7">
        <f>IF(SUM(L15:O15)=0,"",N15/SUM(L15:O15))</f>
        <v/>
      </c>
      <c r="W15" s="7">
        <f>IF(SUM(L15:O15)=0,"",O15/SUM(L15:O15))</f>
        <v/>
      </c>
    </row>
    <row r="16">
      <c r="A16" t="n">
        <v>15</v>
      </c>
      <c r="B16" t="inlineStr">
        <is>
          <t>The Jane Novak Zavasky Scholarship Fund</t>
        </is>
      </c>
      <c r="C16" t="n">
        <v>0</v>
      </c>
      <c r="D16" t="n">
        <v>1</v>
      </c>
      <c r="E16" t="n">
        <v>0</v>
      </c>
      <c r="F16" t="n">
        <v>0</v>
      </c>
      <c r="G16" t="b">
        <v>0</v>
      </c>
      <c r="H16" t="n">
        <v>0</v>
      </c>
      <c r="I16" t="n">
        <v>0</v>
      </c>
      <c r="J16" t="n">
        <v>0</v>
      </c>
      <c r="K16" t="n">
        <v>0</v>
      </c>
      <c r="L16" t="n">
        <v>1</v>
      </c>
      <c r="M16" t="n">
        <v>2</v>
      </c>
      <c r="N16" t="n">
        <v>0</v>
      </c>
      <c r="O16" t="n">
        <v>0</v>
      </c>
      <c r="P16" s="7">
        <f>IF(SUM(H16:K16)=0,"",H16/SUM(H16:K16))</f>
        <v/>
      </c>
      <c r="Q16" s="7">
        <f>IF(SUM(H16:K16)=0,"",I16/SUM(H16:K16))</f>
        <v/>
      </c>
      <c r="R16" s="7">
        <f>IF(SUM(H16:K16)=0,"",J16/SUM(H16:K16))</f>
        <v/>
      </c>
      <c r="S16" s="7">
        <f>IF(SUM(H16:K16)=0,"",K16/SUM(H16:K16))</f>
        <v/>
      </c>
      <c r="T16" s="7">
        <f>IF(SUM(L16:O16)=0,"",L16/SUM(L16:O16))</f>
        <v/>
      </c>
      <c r="U16" s="7">
        <f>IF(SUM(L16:O16)=0,"",M16/SUM(L16:O16))</f>
        <v/>
      </c>
      <c r="V16" s="7">
        <f>IF(SUM(L16:O16)=0,"",N16/SUM(L16:O16))</f>
        <v/>
      </c>
      <c r="W16" s="7">
        <f>IF(SUM(L16:O16)=0,"",O16/SUM(L16:O16))</f>
        <v/>
      </c>
    </row>
    <row r="17">
      <c r="A17" t="n">
        <v>16</v>
      </c>
      <c r="B17" t="inlineStr">
        <is>
          <t>Former North East Middle School English teacher [individual_tag] and her family established a new scholarship in 2021.</t>
        </is>
      </c>
      <c r="C17" t="n">
        <v>1</v>
      </c>
      <c r="D17" t="n">
        <v>1</v>
      </c>
      <c r="E17" t="n">
        <v>0</v>
      </c>
      <c r="F17" t="n">
        <v>0</v>
      </c>
      <c r="G17" t="b">
        <v>1</v>
      </c>
      <c r="H17" t="n">
        <v>0</v>
      </c>
      <c r="I17" t="n">
        <v>2</v>
      </c>
      <c r="J17" t="n">
        <v>0</v>
      </c>
      <c r="K17" t="n">
        <v>0</v>
      </c>
      <c r="L17" t="n">
        <v>1</v>
      </c>
      <c r="M17" t="n">
        <v>2</v>
      </c>
      <c r="N17" t="n">
        <v>0</v>
      </c>
      <c r="O17" t="n">
        <v>0</v>
      </c>
      <c r="P17" s="7">
        <f>IF(SUM(H17:K17)=0,"",H17/SUM(H17:K17))</f>
        <v/>
      </c>
      <c r="Q17" s="7">
        <f>IF(SUM(H17:K17)=0,"",I17/SUM(H17:K17))</f>
        <v/>
      </c>
      <c r="R17" s="7">
        <f>IF(SUM(H17:K17)=0,"",J17/SUM(H17:K17))</f>
        <v/>
      </c>
      <c r="S17" s="7">
        <f>IF(SUM(H17:K17)=0,"",K17/SUM(H17:K17))</f>
        <v/>
      </c>
      <c r="T17" s="7">
        <f>IF(SUM(L17:O17)=0,"",L17/SUM(L17:O17))</f>
        <v/>
      </c>
      <c r="U17" s="7">
        <f>IF(SUM(L17:O17)=0,"",M17/SUM(L17:O17))</f>
        <v/>
      </c>
      <c r="V17" s="7">
        <f>IF(SUM(L17:O17)=0,"",N17/SUM(L17:O17))</f>
        <v/>
      </c>
      <c r="W17" s="7">
        <f>IF(SUM(L17:O17)=0,"",O17/SUM(L17:O17))</f>
        <v/>
      </c>
    </row>
    <row r="18">
      <c r="A18" t="n">
        <v>17</v>
      </c>
      <c r="B18" t="inlineStr">
        <is>
          <t>It will be awarded to students who are pursuing a degree in education with  preference will be given to those who attended North East Middle School.</t>
        </is>
      </c>
      <c r="C18" t="n">
        <v>1</v>
      </c>
      <c r="D18" t="n">
        <v>3</v>
      </c>
      <c r="E18" t="n">
        <v>0</v>
      </c>
      <c r="F18" t="n">
        <v>0</v>
      </c>
      <c r="G18" t="b">
        <v>1</v>
      </c>
      <c r="H18" t="n">
        <v>0</v>
      </c>
      <c r="I18" t="n">
        <v>2</v>
      </c>
      <c r="J18" t="n">
        <v>0</v>
      </c>
      <c r="K18" t="n">
        <v>0</v>
      </c>
      <c r="L18" t="n">
        <v>3</v>
      </c>
      <c r="M18" t="n">
        <v>6</v>
      </c>
      <c r="N18" t="n">
        <v>0</v>
      </c>
      <c r="O18" t="n">
        <v>0</v>
      </c>
      <c r="P18" s="7">
        <f>IF(SUM(H18:K18)=0,"",H18/SUM(H18:K18))</f>
        <v/>
      </c>
      <c r="Q18" s="7">
        <f>IF(SUM(H18:K18)=0,"",I18/SUM(H18:K18))</f>
        <v/>
      </c>
      <c r="R18" s="7">
        <f>IF(SUM(H18:K18)=0,"",J18/SUM(H18:K18))</f>
        <v/>
      </c>
      <c r="S18" s="7">
        <f>IF(SUM(H18:K18)=0,"",K18/SUM(H18:K18))</f>
        <v/>
      </c>
      <c r="T18" s="7">
        <f>IF(SUM(L18:O18)=0,"",L18/SUM(L18:O18))</f>
        <v/>
      </c>
      <c r="U18" s="7">
        <f>IF(SUM(L18:O18)=0,"",M18/SUM(L18:O18))</f>
        <v/>
      </c>
      <c r="V18" s="7">
        <f>IF(SUM(L18:O18)=0,"",N18/SUM(L18:O18))</f>
        <v/>
      </c>
      <c r="W18" s="7">
        <f>IF(SUM(L18:O18)=0,"",O18/SUM(L18:O18))</f>
        <v/>
      </c>
    </row>
    <row r="19">
      <c r="A19" t="n">
        <v>18</v>
      </c>
      <c r="B19" t="inlineStr">
        <is>
          <t>DID YOU KNOW?</t>
        </is>
      </c>
      <c r="C19" t="n">
        <v>0</v>
      </c>
      <c r="D19" t="n">
        <v>0</v>
      </c>
      <c r="E19" t="n">
        <v>0</v>
      </c>
      <c r="F19" t="n">
        <v>0</v>
      </c>
      <c r="G19" t="b">
        <v>0</v>
      </c>
      <c r="H19" t="n">
        <v>0</v>
      </c>
      <c r="I19" t="n">
        <v>0</v>
      </c>
      <c r="J19" t="n">
        <v>0</v>
      </c>
      <c r="K19" t="n">
        <v>0</v>
      </c>
      <c r="L19" t="n">
        <v>0</v>
      </c>
      <c r="M19" t="n">
        <v>0</v>
      </c>
      <c r="N19" t="n">
        <v>0</v>
      </c>
      <c r="O19" t="n">
        <v>0</v>
      </c>
      <c r="P19" s="7">
        <f>IF(SUM(H19:K19)=0,"",H19/SUM(H19:K19))</f>
        <v/>
      </c>
      <c r="Q19" s="7">
        <f>IF(SUM(H19:K19)=0,"",I19/SUM(H19:K19))</f>
        <v/>
      </c>
      <c r="R19" s="7">
        <f>IF(SUM(H19:K19)=0,"",J19/SUM(H19:K19))</f>
        <v/>
      </c>
      <c r="S19" s="7">
        <f>IF(SUM(H19:K19)=0,"",K19/SUM(H19:K19))</f>
        <v/>
      </c>
      <c r="T19" s="7">
        <f>IF(SUM(L19:O19)=0,"",L19/SUM(L19:O19))</f>
        <v/>
      </c>
      <c r="U19" s="7">
        <f>IF(SUM(L19:O19)=0,"",M19/SUM(L19:O19))</f>
        <v/>
      </c>
      <c r="V19" s="7">
        <f>IF(SUM(L19:O19)=0,"",N19/SUM(L19:O19))</f>
        <v/>
      </c>
      <c r="W19" s="7">
        <f>IF(SUM(L19:O19)=0,"",O19/SUM(L19:O19))</f>
        <v/>
      </c>
    </row>
    <row r="20">
      <c r="A20" t="n">
        <v>19</v>
      </c>
      <c r="B20" t="inlineStr">
        <is>
          <t>Did you know [community_foundation_tag] provides its own match to local non-profits during Erie Gives?</t>
        </is>
      </c>
      <c r="C20" t="n">
        <v>0</v>
      </c>
      <c r="D20" t="n">
        <v>3</v>
      </c>
      <c r="E20" t="n">
        <v>0</v>
      </c>
      <c r="F20" t="n">
        <v>0</v>
      </c>
      <c r="G20" t="b">
        <v>0</v>
      </c>
      <c r="H20" t="n">
        <v>0</v>
      </c>
      <c r="I20" t="n">
        <v>0</v>
      </c>
      <c r="J20" t="n">
        <v>0</v>
      </c>
      <c r="K20" t="n">
        <v>0</v>
      </c>
      <c r="L20" t="n">
        <v>6</v>
      </c>
      <c r="M20" t="n">
        <v>3</v>
      </c>
      <c r="N20" t="n">
        <v>0</v>
      </c>
      <c r="O20" t="n">
        <v>0</v>
      </c>
      <c r="P20" s="7">
        <f>IF(SUM(H20:K20)=0,"",H20/SUM(H20:K20))</f>
        <v/>
      </c>
      <c r="Q20" s="7">
        <f>IF(SUM(H20:K20)=0,"",I20/SUM(H20:K20))</f>
        <v/>
      </c>
      <c r="R20" s="7">
        <f>IF(SUM(H20:K20)=0,"",J20/SUM(H20:K20))</f>
        <v/>
      </c>
      <c r="S20" s="7">
        <f>IF(SUM(H20:K20)=0,"",K20/SUM(H20:K20))</f>
        <v/>
      </c>
      <c r="T20" s="7">
        <f>IF(SUM(L20:O20)=0,"",L20/SUM(L20:O20))</f>
        <v/>
      </c>
      <c r="U20" s="7">
        <f>IF(SUM(L20:O20)=0,"",M20/SUM(L20:O20))</f>
        <v/>
      </c>
      <c r="V20" s="7">
        <f>IF(SUM(L20:O20)=0,"",N20/SUM(L20:O20))</f>
        <v/>
      </c>
      <c r="W20" s="7">
        <f>IF(SUM(L20:O20)=0,"",O20/SUM(L20:O20))</f>
        <v/>
      </c>
    </row>
    <row r="21">
      <c r="A21" t="n">
        <v>20</v>
      </c>
      <c r="B21" t="inlineStr">
        <is>
          <t>This is on top of  funds  donated  by residents on Aug. 10 and matched by The Erie Community Foundation.</t>
        </is>
      </c>
      <c r="C21" t="n">
        <v>0</v>
      </c>
      <c r="D21" t="n">
        <v>3</v>
      </c>
      <c r="E21" t="n">
        <v>0</v>
      </c>
      <c r="F21" t="n">
        <v>0</v>
      </c>
      <c r="G21" t="b">
        <v>0</v>
      </c>
      <c r="H21" t="n">
        <v>0</v>
      </c>
      <c r="I21" t="n">
        <v>0</v>
      </c>
      <c r="J21" t="n">
        <v>0</v>
      </c>
      <c r="K21" t="n">
        <v>0</v>
      </c>
      <c r="L21" t="n">
        <v>6</v>
      </c>
      <c r="M21" t="n">
        <v>1</v>
      </c>
      <c r="N21" t="n">
        <v>2</v>
      </c>
      <c r="O21" t="n">
        <v>0</v>
      </c>
      <c r="P21" s="7">
        <f>IF(SUM(H21:K21)=0,"",H21/SUM(H21:K21))</f>
        <v/>
      </c>
      <c r="Q21" s="7">
        <f>IF(SUM(H21:K21)=0,"",I21/SUM(H21:K21))</f>
        <v/>
      </c>
      <c r="R21" s="7">
        <f>IF(SUM(H21:K21)=0,"",J21/SUM(H21:K21))</f>
        <v/>
      </c>
      <c r="S21" s="7">
        <f>IF(SUM(H21:K21)=0,"",K21/SUM(H21:K21))</f>
        <v/>
      </c>
      <c r="T21" s="7">
        <f>IF(SUM(L21:O21)=0,"",L21/SUM(L21:O21))</f>
        <v/>
      </c>
      <c r="U21" s="7">
        <f>IF(SUM(L21:O21)=0,"",M21/SUM(L21:O21))</f>
        <v/>
      </c>
      <c r="V21" s="7">
        <f>IF(SUM(L21:O21)=0,"",N21/SUM(L21:O21))</f>
        <v/>
      </c>
      <c r="W21" s="7">
        <f>IF(SUM(L21:O21)=0,"",O21/SUM(L21:O21))</f>
        <v/>
      </c>
    </row>
    <row r="22">
      <c r="A22" t="n">
        <v>21</v>
      </c>
      <c r="B22" t="inlineStr">
        <is>
          <t>This year [community_foundation_tag] was proud to contribute an additional $30,000 in matching funds to support the mission of 21 local organizations that work to make  life better for the people of North East.</t>
        </is>
      </c>
      <c r="C22" t="n">
        <v>1</v>
      </c>
      <c r="D22" t="n">
        <v>4</v>
      </c>
      <c r="E22" t="n">
        <v>0</v>
      </c>
      <c r="F22" t="n">
        <v>0</v>
      </c>
      <c r="G22" t="b">
        <v>1</v>
      </c>
      <c r="H22" t="n">
        <v>2</v>
      </c>
      <c r="I22" t="n">
        <v>0</v>
      </c>
      <c r="J22" t="n">
        <v>0</v>
      </c>
      <c r="K22" t="n">
        <v>0</v>
      </c>
      <c r="L22" t="n">
        <v>8</v>
      </c>
      <c r="M22" t="n">
        <v>0</v>
      </c>
      <c r="N22" t="n">
        <v>4</v>
      </c>
      <c r="O22" t="n">
        <v>0</v>
      </c>
      <c r="P22" s="7">
        <f>IF(SUM(H22:K22)=0,"",H22/SUM(H22:K22))</f>
        <v/>
      </c>
      <c r="Q22" s="7">
        <f>IF(SUM(H22:K22)=0,"",I22/SUM(H22:K22))</f>
        <v/>
      </c>
      <c r="R22" s="7">
        <f>IF(SUM(H22:K22)=0,"",J22/SUM(H22:K22))</f>
        <v/>
      </c>
      <c r="S22" s="7">
        <f>IF(SUM(H22:K22)=0,"",K22/SUM(H22:K22))</f>
        <v/>
      </c>
      <c r="T22" s="7">
        <f>IF(SUM(L22:O22)=0,"",L22/SUM(L22:O22))</f>
        <v/>
      </c>
      <c r="U22" s="7">
        <f>IF(SUM(L22:O22)=0,"",M22/SUM(L22:O22))</f>
        <v/>
      </c>
      <c r="V22" s="7">
        <f>IF(SUM(L22:O22)=0,"",N22/SUM(L22:O22))</f>
        <v/>
      </c>
      <c r="W22" s="7">
        <f>IF(SUM(L22:O22)=0,"",O22/SUM(L22:O22))</f>
        <v/>
      </c>
    </row>
    <row r="23">
      <c r="A23" t="n">
        <v>22</v>
      </c>
      <c r="B23" t="inlineStr">
        <is>
          <t>GIVE TODAY!</t>
        </is>
      </c>
      <c r="C23" t="n">
        <v>0</v>
      </c>
      <c r="D23" t="n">
        <v>1</v>
      </c>
      <c r="E23" t="n">
        <v>0</v>
      </c>
      <c r="F23" t="n">
        <v>0</v>
      </c>
      <c r="G23" t="b">
        <v>0</v>
      </c>
      <c r="H23" t="n">
        <v>0</v>
      </c>
      <c r="I23" t="n">
        <v>0</v>
      </c>
      <c r="J23" t="n">
        <v>0</v>
      </c>
      <c r="K23" t="n">
        <v>0</v>
      </c>
      <c r="L23" t="n">
        <v>2</v>
      </c>
      <c r="M23" t="n">
        <v>1</v>
      </c>
      <c r="N23" t="n">
        <v>0</v>
      </c>
      <c r="O23" t="n">
        <v>0</v>
      </c>
      <c r="P23" s="7">
        <f>IF(SUM(H23:K23)=0,"",H23/SUM(H23:K23))</f>
        <v/>
      </c>
      <c r="Q23" s="7">
        <f>IF(SUM(H23:K23)=0,"",I23/SUM(H23:K23))</f>
        <v/>
      </c>
      <c r="R23" s="7">
        <f>IF(SUM(H23:K23)=0,"",J23/SUM(H23:K23))</f>
        <v/>
      </c>
      <c r="S23" s="7">
        <f>IF(SUM(H23:K23)=0,"",K23/SUM(H23:K23))</f>
        <v/>
      </c>
      <c r="T23" s="7">
        <f>IF(SUM(L23:O23)=0,"",L23/SUM(L23:O23))</f>
        <v/>
      </c>
      <c r="U23" s="7">
        <f>IF(SUM(L23:O23)=0,"",M23/SUM(L23:O23))</f>
        <v/>
      </c>
      <c r="V23" s="7">
        <f>IF(SUM(L23:O23)=0,"",N23/SUM(L23:O23))</f>
        <v/>
      </c>
      <c r="W23" s="7">
        <f>IF(SUM(L23:O23)=0,"",O23/SUM(L23:O23))</f>
        <v/>
      </c>
    </row>
    <row r="24">
      <c r="A24" t="n">
        <v>23</v>
      </c>
      <c r="B24" t="inlineStr">
        <is>
          <t>DONATE: Mail a gift of any amount to [community_foundation_tag], P.O. Box 327, North East, PA 16428.</t>
        </is>
      </c>
      <c r="C24" t="n">
        <v>0</v>
      </c>
      <c r="D24" t="n">
        <v>1</v>
      </c>
      <c r="E24" t="n">
        <v>0</v>
      </c>
      <c r="F24" t="n">
        <v>0</v>
      </c>
      <c r="G24" t="b">
        <v>0</v>
      </c>
      <c r="H24" t="n">
        <v>0</v>
      </c>
      <c r="I24" t="n">
        <v>0</v>
      </c>
      <c r="J24" t="n">
        <v>0</v>
      </c>
      <c r="K24" t="n">
        <v>0</v>
      </c>
      <c r="L24" t="n">
        <v>2</v>
      </c>
      <c r="M24" t="n">
        <v>1</v>
      </c>
      <c r="N24" t="n">
        <v>0</v>
      </c>
      <c r="O24" t="n">
        <v>0</v>
      </c>
      <c r="P24" s="7">
        <f>IF(SUM(H24:K24)=0,"",H24/SUM(H24:K24))</f>
        <v/>
      </c>
      <c r="Q24" s="7">
        <f>IF(SUM(H24:K24)=0,"",I24/SUM(H24:K24))</f>
        <v/>
      </c>
      <c r="R24" s="7">
        <f>IF(SUM(H24:K24)=0,"",J24/SUM(H24:K24))</f>
        <v/>
      </c>
      <c r="S24" s="7">
        <f>IF(SUM(H24:K24)=0,"",K24/SUM(H24:K24))</f>
        <v/>
      </c>
      <c r="T24" s="7">
        <f>IF(SUM(L24:O24)=0,"",L24/SUM(L24:O24))</f>
        <v/>
      </c>
      <c r="U24" s="7">
        <f>IF(SUM(L24:O24)=0,"",M24/SUM(L24:O24))</f>
        <v/>
      </c>
      <c r="V24" s="7">
        <f>IF(SUM(L24:O24)=0,"",N24/SUM(L24:O24))</f>
        <v/>
      </c>
      <c r="W24" s="7">
        <f>IF(SUM(L24:O24)=0,"",O24/SUM(L24:O24))</f>
        <v/>
      </c>
    </row>
    <row r="25">
      <c r="A25" t="n">
        <v>24</v>
      </c>
      <c r="B25" t="inlineStr">
        <is>
          <t>START A FUND: Funds can be established in any amount.</t>
        </is>
      </c>
      <c r="C25" t="n">
        <v>0</v>
      </c>
      <c r="D25" t="n">
        <v>2</v>
      </c>
      <c r="E25" t="n">
        <v>0</v>
      </c>
      <c r="F25" t="n">
        <v>0</v>
      </c>
      <c r="G25" t="b">
        <v>0</v>
      </c>
      <c r="H25" t="n">
        <v>0</v>
      </c>
      <c r="I25" t="n">
        <v>0</v>
      </c>
      <c r="J25" t="n">
        <v>0</v>
      </c>
      <c r="K25" t="n">
        <v>0</v>
      </c>
      <c r="L25" t="n">
        <v>2</v>
      </c>
      <c r="M25" t="n">
        <v>4</v>
      </c>
      <c r="N25" t="n">
        <v>0</v>
      </c>
      <c r="O25" t="n">
        <v>0</v>
      </c>
      <c r="P25" s="7">
        <f>IF(SUM(H25:K25)=0,"",H25/SUM(H25:K25))</f>
        <v/>
      </c>
      <c r="Q25" s="7">
        <f>IF(SUM(H25:K25)=0,"",I25/SUM(H25:K25))</f>
        <v/>
      </c>
      <c r="R25" s="7">
        <f>IF(SUM(H25:K25)=0,"",J25/SUM(H25:K25))</f>
        <v/>
      </c>
      <c r="S25" s="7">
        <f>IF(SUM(H25:K25)=0,"",K25/SUM(H25:K25))</f>
        <v/>
      </c>
      <c r="T25" s="7">
        <f>IF(SUM(L25:O25)=0,"",L25/SUM(L25:O25))</f>
        <v/>
      </c>
      <c r="U25" s="7">
        <f>IF(SUM(L25:O25)=0,"",M25/SUM(L25:O25))</f>
        <v/>
      </c>
      <c r="V25" s="7">
        <f>IF(SUM(L25:O25)=0,"",N25/SUM(L25:O25))</f>
        <v/>
      </c>
      <c r="W25" s="7">
        <f>IF(SUM(L25:O25)=0,"",O25/SUM(L25:O25))</f>
        <v/>
      </c>
    </row>
    <row r="26">
      <c r="A26" t="n">
        <v>25</v>
      </c>
      <c r="B26" t="inlineStr">
        <is>
          <t>Call [individual_tag] at 814.882.5594 to learn more.</t>
        </is>
      </c>
      <c r="C26" t="n">
        <v>0</v>
      </c>
      <c r="D26" t="n">
        <v>0</v>
      </c>
      <c r="E26" t="n">
        <v>0</v>
      </c>
      <c r="F26" t="n">
        <v>0</v>
      </c>
      <c r="G26" t="b">
        <v>0</v>
      </c>
      <c r="H26" t="n">
        <v>0</v>
      </c>
      <c r="I26" t="n">
        <v>0</v>
      </c>
      <c r="J26" t="n">
        <v>0</v>
      </c>
      <c r="K26" t="n">
        <v>0</v>
      </c>
      <c r="L26" t="n">
        <v>0</v>
      </c>
      <c r="M26" t="n">
        <v>0</v>
      </c>
      <c r="N26" t="n">
        <v>0</v>
      </c>
      <c r="O26" t="n">
        <v>0</v>
      </c>
      <c r="P26" s="7">
        <f>IF(SUM(H26:K26)=0,"",H26/SUM(H26:K26))</f>
        <v/>
      </c>
      <c r="Q26" s="7">
        <f>IF(SUM(H26:K26)=0,"",I26/SUM(H26:K26))</f>
        <v/>
      </c>
      <c r="R26" s="7">
        <f>IF(SUM(H26:K26)=0,"",J26/SUM(H26:K26))</f>
        <v/>
      </c>
      <c r="S26" s="7">
        <f>IF(SUM(H26:K26)=0,"",K26/SUM(H26:K26))</f>
        <v/>
      </c>
      <c r="T26" s="7">
        <f>IF(SUM(L26:O26)=0,"",L26/SUM(L26:O26))</f>
        <v/>
      </c>
      <c r="U26" s="7">
        <f>IF(SUM(L26:O26)=0,"",M26/SUM(L26:O26))</f>
        <v/>
      </c>
      <c r="V26" s="7">
        <f>IF(SUM(L26:O26)=0,"",N26/SUM(L26:O26))</f>
        <v/>
      </c>
      <c r="W26" s="7">
        <f>IF(SUM(L26:O26)=0,"",O26/SUM(L26:O26))</f>
        <v/>
      </c>
    </row>
    <row r="27">
      <c r="A27" t="n">
        <v>26</v>
      </c>
      <c r="B27" t="inlineStr">
        <is>
          <t>GRANTS: 501(c)(3) organizations can request a grant at any time.</t>
        </is>
      </c>
      <c r="C27" t="n">
        <v>0</v>
      </c>
      <c r="D27" t="n">
        <v>2</v>
      </c>
      <c r="E27" t="n">
        <v>0</v>
      </c>
      <c r="F27" t="n">
        <v>0</v>
      </c>
      <c r="G27" t="b">
        <v>0</v>
      </c>
      <c r="H27" t="n">
        <v>0</v>
      </c>
      <c r="I27" t="n">
        <v>0</v>
      </c>
      <c r="J27" t="n">
        <v>0</v>
      </c>
      <c r="K27" t="n">
        <v>0</v>
      </c>
      <c r="L27" t="n">
        <v>4</v>
      </c>
      <c r="M27" t="n">
        <v>0</v>
      </c>
      <c r="N27" t="n">
        <v>0</v>
      </c>
      <c r="O27" t="n">
        <v>2</v>
      </c>
      <c r="P27" s="7">
        <f>IF(SUM(H27:K27)=0,"",H27/SUM(H27:K27))</f>
        <v/>
      </c>
      <c r="Q27" s="7">
        <f>IF(SUM(H27:K27)=0,"",I27/SUM(H27:K27))</f>
        <v/>
      </c>
      <c r="R27" s="7">
        <f>IF(SUM(H27:K27)=0,"",J27/SUM(H27:K27))</f>
        <v/>
      </c>
      <c r="S27" s="7">
        <f>IF(SUM(H27:K27)=0,"",K27/SUM(H27:K27))</f>
        <v/>
      </c>
      <c r="T27" s="7">
        <f>IF(SUM(L27:O27)=0,"",L27/SUM(L27:O27))</f>
        <v/>
      </c>
      <c r="U27" s="7">
        <f>IF(SUM(L27:O27)=0,"",M27/SUM(L27:O27))</f>
        <v/>
      </c>
      <c r="V27" s="7">
        <f>IF(SUM(L27:O27)=0,"",N27/SUM(L27:O27))</f>
        <v/>
      </c>
      <c r="W27" s="7">
        <f>IF(SUM(L27:O27)=0,"",O27/SUM(L27:O27))</f>
        <v/>
      </c>
    </row>
    <row r="28">
      <c r="A28" t="n">
        <v>27</v>
      </c>
      <c r="B28" t="inlineStr">
        <is>
          <t>Find [community_foundation_tag] on Facebook: [community_foundation_tag]</t>
        </is>
      </c>
      <c r="C28" t="n">
        <v>0</v>
      </c>
      <c r="D28" t="n">
        <v>0</v>
      </c>
      <c r="E28" t="n">
        <v>0</v>
      </c>
      <c r="F28" t="n">
        <v>0</v>
      </c>
      <c r="G28" t="b">
        <v>0</v>
      </c>
      <c r="H28" t="n">
        <v>0</v>
      </c>
      <c r="I28" t="n">
        <v>0</v>
      </c>
      <c r="J28" t="n">
        <v>0</v>
      </c>
      <c r="K28" t="n">
        <v>0</v>
      </c>
      <c r="L28" t="n">
        <v>0</v>
      </c>
      <c r="M28" t="n">
        <v>0</v>
      </c>
      <c r="N28" t="n">
        <v>0</v>
      </c>
      <c r="O28" t="n">
        <v>0</v>
      </c>
      <c r="P28" s="7">
        <f>IF(SUM(H28:K28)=0,"",H28/SUM(H28:K28))</f>
        <v/>
      </c>
      <c r="Q28" s="7">
        <f>IF(SUM(H28:K28)=0,"",I28/SUM(H28:K28))</f>
        <v/>
      </c>
      <c r="R28" s="7">
        <f>IF(SUM(H28:K28)=0,"",J28/SUM(H28:K28))</f>
        <v/>
      </c>
      <c r="S28" s="7">
        <f>IF(SUM(H28:K28)=0,"",K28/SUM(H28:K28))</f>
        <v/>
      </c>
      <c r="T28" s="7">
        <f>IF(SUM(L28:O28)=0,"",L28/SUM(L28:O28))</f>
        <v/>
      </c>
      <c r="U28" s="7">
        <f>IF(SUM(L28:O28)=0,"",M28/SUM(L28:O28))</f>
        <v/>
      </c>
      <c r="V28" s="7">
        <f>IF(SUM(L28:O28)=0,"",N28/SUM(L28:O28))</f>
        <v/>
      </c>
      <c r="W28" s="7">
        <f>IF(SUM(L28:O28)=0,"",O28/SUM(L28:O28))</f>
        <v/>
      </c>
    </row>
    <row r="29">
      <c r="A29" t="n">
        <v>28</v>
      </c>
      <c r="B29" t="inlineStr">
        <is>
          <t>The Fuller Hose Co. #1 Fund</t>
        </is>
      </c>
      <c r="C29" t="n">
        <v>0</v>
      </c>
      <c r="D29" t="n">
        <v>1</v>
      </c>
      <c r="E29" t="n">
        <v>0</v>
      </c>
      <c r="F29" t="n">
        <v>0</v>
      </c>
      <c r="G29" t="b">
        <v>0</v>
      </c>
      <c r="H29" t="n">
        <v>0</v>
      </c>
      <c r="I29" t="n">
        <v>0</v>
      </c>
      <c r="J29" t="n">
        <v>0</v>
      </c>
      <c r="K29" t="n">
        <v>0</v>
      </c>
      <c r="L29" t="n">
        <v>2</v>
      </c>
      <c r="M29" t="n">
        <v>1</v>
      </c>
      <c r="N29" t="n">
        <v>0</v>
      </c>
      <c r="O29" t="n">
        <v>0</v>
      </c>
      <c r="P29" s="7">
        <f>IF(SUM(H29:K29)=0,"",H29/SUM(H29:K29))</f>
        <v/>
      </c>
      <c r="Q29" s="7">
        <f>IF(SUM(H29:K29)=0,"",I29/SUM(H29:K29))</f>
        <v/>
      </c>
      <c r="R29" s="7">
        <f>IF(SUM(H29:K29)=0,"",J29/SUM(H29:K29))</f>
        <v/>
      </c>
      <c r="S29" s="7">
        <f>IF(SUM(H29:K29)=0,"",K29/SUM(H29:K29))</f>
        <v/>
      </c>
      <c r="T29" s="7">
        <f>IF(SUM(L29:O29)=0,"",L29/SUM(L29:O29))</f>
        <v/>
      </c>
      <c r="U29" s="7">
        <f>IF(SUM(L29:O29)=0,"",M29/SUM(L29:O29))</f>
        <v/>
      </c>
      <c r="V29" s="7">
        <f>IF(SUM(L29:O29)=0,"",N29/SUM(L29:O29))</f>
        <v/>
      </c>
      <c r="W29" s="7">
        <f>IF(SUM(L29:O29)=0,"",O29/SUM(L29:O29))</f>
        <v/>
      </c>
    </row>
    <row r="30">
      <c r="A30" t="n">
        <v>29</v>
      </c>
      <c r="B30" t="inlineStr">
        <is>
          <t>The Fuller Hose Company #1 was established on December 31 of 1885 as a volunteer fire company serving the citizens of North East and beyond.</t>
        </is>
      </c>
      <c r="C30" t="n">
        <v>0</v>
      </c>
      <c r="D30" t="n">
        <v>2</v>
      </c>
      <c r="E30" t="n">
        <v>0</v>
      </c>
      <c r="F30" t="n">
        <v>0</v>
      </c>
      <c r="G30" t="b">
        <v>0</v>
      </c>
      <c r="H30" t="n">
        <v>0</v>
      </c>
      <c r="I30" t="n">
        <v>0</v>
      </c>
      <c r="J30" t="n">
        <v>0</v>
      </c>
      <c r="K30" t="n">
        <v>0</v>
      </c>
      <c r="L30" t="n">
        <v>4</v>
      </c>
      <c r="M30" t="n">
        <v>0</v>
      </c>
      <c r="N30" t="n">
        <v>2</v>
      </c>
      <c r="O30" t="n">
        <v>0</v>
      </c>
      <c r="P30" s="7">
        <f>IF(SUM(H30:K30)=0,"",H30/SUM(H30:K30))</f>
        <v/>
      </c>
      <c r="Q30" s="7">
        <f>IF(SUM(H30:K30)=0,"",I30/SUM(H30:K30))</f>
        <v/>
      </c>
      <c r="R30" s="7">
        <f>IF(SUM(H30:K30)=0,"",J30/SUM(H30:K30))</f>
        <v/>
      </c>
      <c r="S30" s="7">
        <f>IF(SUM(H30:K30)=0,"",K30/SUM(H30:K30))</f>
        <v/>
      </c>
      <c r="T30" s="7">
        <f>IF(SUM(L30:O30)=0,"",L30/SUM(L30:O30))</f>
        <v/>
      </c>
      <c r="U30" s="7">
        <f>IF(SUM(L30:O30)=0,"",M30/SUM(L30:O30))</f>
        <v/>
      </c>
      <c r="V30" s="7">
        <f>IF(SUM(L30:O30)=0,"",N30/SUM(L30:O30))</f>
        <v/>
      </c>
      <c r="W30" s="7">
        <f>IF(SUM(L30:O30)=0,"",O30/SUM(L30:O30))</f>
        <v/>
      </c>
    </row>
    <row r="31">
      <c r="A31" t="n">
        <v>30</v>
      </c>
      <c r="B31" t="inlineStr">
        <is>
          <t>The fund was established to ensure the future public safety needs of the growing North East community can be met. Specifically the fund addresses future apparatus replacement costs, as fire departments are encouraged to replace front line fire engines every 20 years from the date of manufacture.</t>
        </is>
      </c>
      <c r="C31" t="n">
        <v>1</v>
      </c>
      <c r="D31" t="n">
        <v>4</v>
      </c>
      <c r="E31" t="n">
        <v>0</v>
      </c>
      <c r="F31" t="n">
        <v>0</v>
      </c>
      <c r="G31" t="b">
        <v>1</v>
      </c>
      <c r="H31" t="n">
        <v>0</v>
      </c>
      <c r="I31" t="n">
        <v>0</v>
      </c>
      <c r="J31" t="n">
        <v>2</v>
      </c>
      <c r="K31" t="n">
        <v>0</v>
      </c>
      <c r="L31" t="n">
        <v>7</v>
      </c>
      <c r="M31" t="n">
        <v>0</v>
      </c>
      <c r="N31" t="n">
        <v>5</v>
      </c>
      <c r="O31" t="n">
        <v>0</v>
      </c>
      <c r="P31" s="7">
        <f>IF(SUM(H31:K31)=0,"",H31/SUM(H31:K31))</f>
        <v/>
      </c>
      <c r="Q31" s="7">
        <f>IF(SUM(H31:K31)=0,"",I31/SUM(H31:K31))</f>
        <v/>
      </c>
      <c r="R31" s="7">
        <f>IF(SUM(H31:K31)=0,"",J31/SUM(H31:K31))</f>
        <v/>
      </c>
      <c r="S31" s="7">
        <f>IF(SUM(H31:K31)=0,"",K31/SUM(H31:K31))</f>
        <v/>
      </c>
      <c r="T31" s="7">
        <f>IF(SUM(L31:O31)=0,"",L31/SUM(L31:O31))</f>
        <v/>
      </c>
      <c r="U31" s="7">
        <f>IF(SUM(L31:O31)=0,"",M31/SUM(L31:O31))</f>
        <v/>
      </c>
      <c r="V31" s="7">
        <f>IF(SUM(L31:O31)=0,"",N31/SUM(L31:O31))</f>
        <v/>
      </c>
      <c r="W31" s="7">
        <f>IF(SUM(L31:O31)=0,"",O31/SUM(L31:O31))</f>
        <v/>
      </c>
    </row>
    <row r="32">
      <c r="A32" t="n">
        <v>31</v>
      </c>
      <c r="B32" t="inlineStr">
        <is>
          <t>Fuller Hose Company #1 currently operates two engines, one tanker, one utility truck, one brush truck and two boats.</t>
        </is>
      </c>
      <c r="C32" t="n">
        <v>0</v>
      </c>
      <c r="D32" t="n">
        <v>1</v>
      </c>
      <c r="E32" t="n">
        <v>0</v>
      </c>
      <c r="F32" t="n">
        <v>0</v>
      </c>
      <c r="G32" t="b">
        <v>0</v>
      </c>
      <c r="H32" t="n">
        <v>0</v>
      </c>
      <c r="I32" t="n">
        <v>0</v>
      </c>
      <c r="J32" t="n">
        <v>0</v>
      </c>
      <c r="K32" t="n">
        <v>0</v>
      </c>
      <c r="L32" t="n">
        <v>2</v>
      </c>
      <c r="M32" t="n">
        <v>0</v>
      </c>
      <c r="N32" t="n">
        <v>1</v>
      </c>
      <c r="O32" t="n">
        <v>0</v>
      </c>
      <c r="P32" s="7">
        <f>IF(SUM(H32:K32)=0,"",H32/SUM(H32:K32))</f>
        <v/>
      </c>
      <c r="Q32" s="7">
        <f>IF(SUM(H32:K32)=0,"",I32/SUM(H32:K32))</f>
        <v/>
      </c>
      <c r="R32" s="7">
        <f>IF(SUM(H32:K32)=0,"",J32/SUM(H32:K32))</f>
        <v/>
      </c>
      <c r="S32" s="7">
        <f>IF(SUM(H32:K32)=0,"",K32/SUM(H32:K32))</f>
        <v/>
      </c>
      <c r="T32" s="7">
        <f>IF(SUM(L32:O32)=0,"",L32/SUM(L32:O32))</f>
        <v/>
      </c>
      <c r="U32" s="7">
        <f>IF(SUM(L32:O32)=0,"",M32/SUM(L32:O32))</f>
        <v/>
      </c>
      <c r="V32" s="7">
        <f>IF(SUM(L32:O32)=0,"",N32/SUM(L32:O32))</f>
        <v/>
      </c>
      <c r="W32" s="7">
        <f>IF(SUM(L32:O32)=0,"",O32/SUM(L32:O32))</f>
        <v/>
      </c>
    </row>
    <row r="33">
      <c r="A33" t="n">
        <v>35</v>
      </c>
      <c r="B33" t="inlineStr">
        <is>
          <t>&amp;amp; Receive Exclusive Offers PO Box 327 North East, PA 16428</t>
        </is>
      </c>
      <c r="C33" t="n">
        <v>0</v>
      </c>
      <c r="D33" t="n">
        <v>0</v>
      </c>
      <c r="E33" t="n">
        <v>0</v>
      </c>
      <c r="F33" t="n">
        <v>0</v>
      </c>
      <c r="G33" t="b">
        <v>0</v>
      </c>
      <c r="H33" t="n">
        <v>0</v>
      </c>
      <c r="I33" t="n">
        <v>0</v>
      </c>
      <c r="J33" t="n">
        <v>0</v>
      </c>
      <c r="K33" t="n">
        <v>0</v>
      </c>
      <c r="L33" t="n">
        <v>0</v>
      </c>
      <c r="M33" t="n">
        <v>0</v>
      </c>
      <c r="N33" t="n">
        <v>0</v>
      </c>
      <c r="O33" t="n">
        <v>0</v>
      </c>
      <c r="P33" s="7">
        <f>IF(SUM(H33:K33)=0,"",H33/SUM(H33:K33))</f>
        <v/>
      </c>
      <c r="Q33" s="7">
        <f>IF(SUM(H33:K33)=0,"",I33/SUM(H33:K33))</f>
        <v/>
      </c>
      <c r="R33" s="7">
        <f>IF(SUM(H33:K33)=0,"",J33/SUM(H33:K33))</f>
        <v/>
      </c>
      <c r="S33" s="7">
        <f>IF(SUM(H33:K33)=0,"",K33/SUM(H33:K33))</f>
        <v/>
      </c>
      <c r="T33" s="7">
        <f>IF(SUM(L33:O33)=0,"",L33/SUM(L33:O33))</f>
        <v/>
      </c>
      <c r="U33" s="7">
        <f>IF(SUM(L33:O33)=0,"",M33/SUM(L33:O33))</f>
        <v/>
      </c>
      <c r="V33" s="7">
        <f>IF(SUM(L33:O33)=0,"",N33/SUM(L33:O33))</f>
        <v/>
      </c>
      <c r="W33" s="7">
        <f>IF(SUM(L33:O33)=0,"",O33/SUM(L33:O33))</f>
        <v/>
      </c>
    </row>
    <row r="34">
      <c r="A34" t="n">
        <v>37</v>
      </c>
      <c r="B34" t="inlineStr">
        <is>
          <t>[community_foundation_tag] are grateful to those who made contributions or established a new fund in 2021</t>
        </is>
      </c>
      <c r="C34" t="n">
        <v>0</v>
      </c>
      <c r="D34" t="n">
        <v>1</v>
      </c>
      <c r="E34" t="n">
        <v>0</v>
      </c>
      <c r="F34" t="n">
        <v>0</v>
      </c>
      <c r="G34" t="b">
        <v>0</v>
      </c>
      <c r="H34" t="n">
        <v>0</v>
      </c>
      <c r="I34" t="n">
        <v>0</v>
      </c>
      <c r="J34" t="n">
        <v>0</v>
      </c>
      <c r="K34" t="n">
        <v>0</v>
      </c>
      <c r="L34" t="n">
        <v>2</v>
      </c>
      <c r="M34" t="n">
        <v>1</v>
      </c>
      <c r="N34" t="n">
        <v>0</v>
      </c>
      <c r="O34" t="n">
        <v>0</v>
      </c>
      <c r="P34" s="7">
        <f>IF(SUM(H34:K34)=0,"",H34/SUM(H34:K34))</f>
        <v/>
      </c>
      <c r="Q34" s="7">
        <f>IF(SUM(H34:K34)=0,"",I34/SUM(H34:K34))</f>
        <v/>
      </c>
      <c r="R34" s="7">
        <f>IF(SUM(H34:K34)=0,"",J34/SUM(H34:K34))</f>
        <v/>
      </c>
      <c r="S34" s="7">
        <f>IF(SUM(H34:K34)=0,"",K34/SUM(H34:K34))</f>
        <v/>
      </c>
      <c r="T34" s="7">
        <f>IF(SUM(L34:O34)=0,"",L34/SUM(L34:O34))</f>
        <v/>
      </c>
      <c r="U34" s="7">
        <f>IF(SUM(L34:O34)=0,"",M34/SUM(L34:O34))</f>
        <v/>
      </c>
      <c r="V34" s="7">
        <f>IF(SUM(L34:O34)=0,"",N34/SUM(L34:O34))</f>
        <v/>
      </c>
      <c r="W34" s="7">
        <f>IF(SUM(L34:O34)=0,"",O34/SUM(L34:O34))</f>
        <v/>
      </c>
    </row>
    <row r="35">
      <c r="A35" t="n">
        <v>38</v>
      </c>
      <c r="B35" t="inlineStr">
        <is>
          <t>Anonymous 4 N.I.N.E. Place Advance North East</t>
        </is>
      </c>
      <c r="C35" t="n">
        <v>0</v>
      </c>
      <c r="D35" t="n">
        <v>1</v>
      </c>
      <c r="E35" t="n">
        <v>0</v>
      </c>
      <c r="F35" t="n">
        <v>0</v>
      </c>
      <c r="G35" t="b">
        <v>0</v>
      </c>
      <c r="H35" t="n">
        <v>0</v>
      </c>
      <c r="I35" t="n">
        <v>0</v>
      </c>
      <c r="J35" t="n">
        <v>0</v>
      </c>
      <c r="K35" t="n">
        <v>0</v>
      </c>
      <c r="L35" t="n">
        <v>2</v>
      </c>
      <c r="M35" t="n">
        <v>1</v>
      </c>
      <c r="N35" t="n">
        <v>0</v>
      </c>
      <c r="O35" t="n">
        <v>0</v>
      </c>
      <c r="P35" s="7">
        <f>IF(SUM(H35:K35)=0,"",H35/SUM(H35:K35))</f>
        <v/>
      </c>
      <c r="Q35" s="7">
        <f>IF(SUM(H35:K35)=0,"",I35/SUM(H35:K35))</f>
        <v/>
      </c>
      <c r="R35" s="7">
        <f>IF(SUM(H35:K35)=0,"",J35/SUM(H35:K35))</f>
        <v/>
      </c>
      <c r="S35" s="7">
        <f>IF(SUM(H35:K35)=0,"",K35/SUM(H35:K35))</f>
        <v/>
      </c>
      <c r="T35" s="7">
        <f>IF(SUM(L35:O35)=0,"",L35/SUM(L35:O35))</f>
        <v/>
      </c>
      <c r="U35" s="7">
        <f>IF(SUM(L35:O35)=0,"",M35/SUM(L35:O35))</f>
        <v/>
      </c>
      <c r="V35" s="7">
        <f>IF(SUM(L35:O35)=0,"",N35/SUM(L35:O35))</f>
        <v/>
      </c>
      <c r="W35" s="7">
        <f>IF(SUM(L35:O35)=0,"",O35/SUM(L35:O35))</f>
        <v/>
      </c>
    </row>
    <row r="36">
      <c r="A36" t="n">
        <v>40</v>
      </c>
      <c r="B36" t="inlineStr">
        <is>
          <t>[individual_tag] Be A Dog Golf Tournament</t>
        </is>
      </c>
      <c r="C36" t="n">
        <v>0</v>
      </c>
      <c r="D36" t="n">
        <v>1</v>
      </c>
      <c r="E36" t="n">
        <v>0</v>
      </c>
      <c r="F36" t="n">
        <v>0</v>
      </c>
      <c r="G36" t="b">
        <v>0</v>
      </c>
      <c r="H36" t="n">
        <v>0</v>
      </c>
      <c r="I36" t="n">
        <v>0</v>
      </c>
      <c r="J36" t="n">
        <v>0</v>
      </c>
      <c r="K36" t="n">
        <v>0</v>
      </c>
      <c r="L36" t="n">
        <v>2</v>
      </c>
      <c r="M36" t="n">
        <v>1</v>
      </c>
      <c r="N36" t="n">
        <v>0</v>
      </c>
      <c r="O36" t="n">
        <v>0</v>
      </c>
      <c r="P36" s="7">
        <f>IF(SUM(H36:K36)=0,"",H36/SUM(H36:K36))</f>
        <v/>
      </c>
      <c r="Q36" s="7">
        <f>IF(SUM(H36:K36)=0,"",I36/SUM(H36:K36))</f>
        <v/>
      </c>
      <c r="R36" s="7">
        <f>IF(SUM(H36:K36)=0,"",J36/SUM(H36:K36))</f>
        <v/>
      </c>
      <c r="S36" s="7">
        <f>IF(SUM(H36:K36)=0,"",K36/SUM(H36:K36))</f>
        <v/>
      </c>
      <c r="T36" s="7">
        <f>IF(SUM(L36:O36)=0,"",L36/SUM(L36:O36))</f>
        <v/>
      </c>
      <c r="U36" s="7">
        <f>IF(SUM(L36:O36)=0,"",M36/SUM(L36:O36))</f>
        <v/>
      </c>
      <c r="V36" s="7">
        <f>IF(SUM(L36:O36)=0,"",N36/SUM(L36:O36))</f>
        <v/>
      </c>
      <c r="W36" s="7">
        <f>IF(SUM(L36:O36)=0,"",O36/SUM(L36:O36))</f>
        <v/>
      </c>
    </row>
    <row r="37">
      <c r="A37" t="n">
        <v>41</v>
      </c>
      <c r="B37" t="inlineStr">
        <is>
          <t>Bella Salon &amp;amp; Day Spa, Inc. [individual_tag] Brett Maloney Landscapes, LLC [individual_tag] [individual_tag] &amp;amp; [individual_tag] [individual_tag] &amp;amp; [individual_tag] [individual_tag] [individual_tag] &amp;amp; [individual_tag] [individual_tag] [individual_tag] [individual_tag] &amp;amp; [individual_tag] Downtown North East, Inc.</t>
        </is>
      </c>
      <c r="C37" t="n">
        <v>0</v>
      </c>
      <c r="D37" t="n">
        <v>1</v>
      </c>
      <c r="E37" t="n">
        <v>0</v>
      </c>
      <c r="F37" t="n">
        <v>0</v>
      </c>
      <c r="G37" t="b">
        <v>0</v>
      </c>
      <c r="H37" t="n">
        <v>0</v>
      </c>
      <c r="I37" t="n">
        <v>0</v>
      </c>
      <c r="J37" t="n">
        <v>0</v>
      </c>
      <c r="K37" t="n">
        <v>0</v>
      </c>
      <c r="L37" t="n">
        <v>2</v>
      </c>
      <c r="M37" t="n">
        <v>1</v>
      </c>
      <c r="N37" t="n">
        <v>0</v>
      </c>
      <c r="O37" t="n">
        <v>0</v>
      </c>
      <c r="P37" s="7">
        <f>IF(SUM(H37:K37)=0,"",H37/SUM(H37:K37))</f>
        <v/>
      </c>
      <c r="Q37" s="7">
        <f>IF(SUM(H37:K37)=0,"",I37/SUM(H37:K37))</f>
        <v/>
      </c>
      <c r="R37" s="7">
        <f>IF(SUM(H37:K37)=0,"",J37/SUM(H37:K37))</f>
        <v/>
      </c>
      <c r="S37" s="7">
        <f>IF(SUM(H37:K37)=0,"",K37/SUM(H37:K37))</f>
        <v/>
      </c>
      <c r="T37" s="7">
        <f>IF(SUM(L37:O37)=0,"",L37/SUM(L37:O37))</f>
        <v/>
      </c>
      <c r="U37" s="7">
        <f>IF(SUM(L37:O37)=0,"",M37/SUM(L37:O37))</f>
        <v/>
      </c>
      <c r="V37" s="7">
        <f>IF(SUM(L37:O37)=0,"",N37/SUM(L37:O37))</f>
        <v/>
      </c>
      <c r="W37" s="7">
        <f>IF(SUM(L37:O37)=0,"",O37/SUM(L37:O37))</f>
        <v/>
      </c>
    </row>
    <row r="38">
      <c r="A38" t="n">
        <v>42</v>
      </c>
      <c r="B38" t="inlineStr">
        <is>
          <t>[individual_tag] [individual_tag] &amp;amp; [individual_tag] [individual_tag] Erie Philharmonic</t>
        </is>
      </c>
      <c r="C38" t="n">
        <v>0</v>
      </c>
      <c r="D38" t="n">
        <v>1</v>
      </c>
      <c r="E38" t="n">
        <v>0</v>
      </c>
      <c r="F38" t="n">
        <v>0</v>
      </c>
      <c r="G38" t="b">
        <v>0</v>
      </c>
      <c r="H38" t="n">
        <v>0</v>
      </c>
      <c r="I38" t="n">
        <v>0</v>
      </c>
      <c r="J38" t="n">
        <v>0</v>
      </c>
      <c r="K38" t="n">
        <v>0</v>
      </c>
      <c r="L38" t="n">
        <v>2</v>
      </c>
      <c r="M38" t="n">
        <v>1</v>
      </c>
      <c r="N38" t="n">
        <v>0</v>
      </c>
      <c r="O38" t="n">
        <v>0</v>
      </c>
      <c r="P38" s="7">
        <f>IF(SUM(H38:K38)=0,"",H38/SUM(H38:K38))</f>
        <v/>
      </c>
      <c r="Q38" s="7">
        <f>IF(SUM(H38:K38)=0,"",I38/SUM(H38:K38))</f>
        <v/>
      </c>
      <c r="R38" s="7">
        <f>IF(SUM(H38:K38)=0,"",J38/SUM(H38:K38))</f>
        <v/>
      </c>
      <c r="S38" s="7">
        <f>IF(SUM(H38:K38)=0,"",K38/SUM(H38:K38))</f>
        <v/>
      </c>
      <c r="T38" s="7">
        <f>IF(SUM(L38:O38)=0,"",L38/SUM(L38:O38))</f>
        <v/>
      </c>
      <c r="U38" s="7">
        <f>IF(SUM(L38:O38)=0,"",M38/SUM(L38:O38))</f>
        <v/>
      </c>
      <c r="V38" s="7">
        <f>IF(SUM(L38:O38)=0,"",N38/SUM(L38:O38))</f>
        <v/>
      </c>
      <c r="W38" s="7">
        <f>IF(SUM(L38:O38)=0,"",O38/SUM(L38:O38))</f>
        <v/>
      </c>
    </row>
    <row r="39">
      <c r="A39" t="n">
        <v>43</v>
      </c>
      <c r="B39" t="inlineStr">
        <is>
          <t>[individual_tag] [individual_tag] Fidelity Charitable Gift Fund</t>
        </is>
      </c>
      <c r="C39" t="n">
        <v>0</v>
      </c>
      <c r="D39" t="n">
        <v>1</v>
      </c>
      <c r="E39" t="n">
        <v>0</v>
      </c>
      <c r="F39" t="n">
        <v>0</v>
      </c>
      <c r="G39" t="b">
        <v>0</v>
      </c>
      <c r="H39" t="n">
        <v>0</v>
      </c>
      <c r="I39" t="n">
        <v>0</v>
      </c>
      <c r="J39" t="n">
        <v>0</v>
      </c>
      <c r="K39" t="n">
        <v>0</v>
      </c>
      <c r="L39" t="n">
        <v>1</v>
      </c>
      <c r="M39" t="n">
        <v>2</v>
      </c>
      <c r="N39" t="n">
        <v>0</v>
      </c>
      <c r="O39" t="n">
        <v>0</v>
      </c>
      <c r="P39" s="7">
        <f>IF(SUM(H39:K39)=0,"",H39/SUM(H39:K39))</f>
        <v/>
      </c>
      <c r="Q39" s="7">
        <f>IF(SUM(H39:K39)=0,"",I39/SUM(H39:K39))</f>
        <v/>
      </c>
      <c r="R39" s="7">
        <f>IF(SUM(H39:K39)=0,"",J39/SUM(H39:K39))</f>
        <v/>
      </c>
      <c r="S39" s="7">
        <f>IF(SUM(H39:K39)=0,"",K39/SUM(H39:K39))</f>
        <v/>
      </c>
      <c r="T39" s="7">
        <f>IF(SUM(L39:O39)=0,"",L39/SUM(L39:O39))</f>
        <v/>
      </c>
      <c r="U39" s="7">
        <f>IF(SUM(L39:O39)=0,"",M39/SUM(L39:O39))</f>
        <v/>
      </c>
      <c r="V39" s="7">
        <f>IF(SUM(L39:O39)=0,"",N39/SUM(L39:O39))</f>
        <v/>
      </c>
      <c r="W39" s="7">
        <f>IF(SUM(L39:O39)=0,"",O39/SUM(L39:O39))</f>
        <v/>
      </c>
    </row>
    <row r="40">
      <c r="A40" t="n">
        <v>44</v>
      </c>
      <c r="B40" t="inlineStr">
        <is>
          <t>[individual_tag] &amp;amp; [individual_tag] [individual_tag] [individual_tag] &amp;amp; [individual_tag] Fuller Hose Company [individual_tag] Greenman - Pedersen, Inc. [individual_tag] [individual_tag] [individual_tag] [individual_tag] &amp;amp; [individual_tag] [individual_tag] [individual_tag] Orris C. &amp;amp; B. Dewey Hirtzel Memorial Foundation [individual_tag] &amp;amp; [individual_tag] [individual_tag] [individual_tag] [individual_tag] &amp;amp; [individual_tag] [individual_tag] [individual_tag] &amp;amp; [individual_tag] [individual_tag] &amp;amp; [individual_tag] [individual_tag] &amp;amp; [individual_tag] [individual_tag] Knox, McLaughlin, Gornall &amp;amp;</t>
        </is>
      </c>
      <c r="C40" t="n">
        <v>0</v>
      </c>
      <c r="D40" t="n">
        <v>1</v>
      </c>
      <c r="E40" t="n">
        <v>0</v>
      </c>
      <c r="F40" t="n">
        <v>0</v>
      </c>
      <c r="G40" t="b">
        <v>0</v>
      </c>
      <c r="H40" t="n">
        <v>0</v>
      </c>
      <c r="I40" t="n">
        <v>0</v>
      </c>
      <c r="J40" t="n">
        <v>0</v>
      </c>
      <c r="K40" t="n">
        <v>0</v>
      </c>
      <c r="L40" t="n">
        <v>2</v>
      </c>
      <c r="M40" t="n">
        <v>1</v>
      </c>
      <c r="N40" t="n">
        <v>0</v>
      </c>
      <c r="O40" t="n">
        <v>0</v>
      </c>
      <c r="P40" s="7">
        <f>IF(SUM(H40:K40)=0,"",H40/SUM(H40:K40))</f>
        <v/>
      </c>
      <c r="Q40" s="7">
        <f>IF(SUM(H40:K40)=0,"",I40/SUM(H40:K40))</f>
        <v/>
      </c>
      <c r="R40" s="7">
        <f>IF(SUM(H40:K40)=0,"",J40/SUM(H40:K40))</f>
        <v/>
      </c>
      <c r="S40" s="7">
        <f>IF(SUM(H40:K40)=0,"",K40/SUM(H40:K40))</f>
        <v/>
      </c>
      <c r="T40" s="7">
        <f>IF(SUM(L40:O40)=0,"",L40/SUM(L40:O40))</f>
        <v/>
      </c>
      <c r="U40" s="7">
        <f>IF(SUM(L40:O40)=0,"",M40/SUM(L40:O40))</f>
        <v/>
      </c>
      <c r="V40" s="7">
        <f>IF(SUM(L40:O40)=0,"",N40/SUM(L40:O40))</f>
        <v/>
      </c>
      <c r="W40" s="7">
        <f>IF(SUM(L40:O40)=0,"",O40/SUM(L40:O40))</f>
        <v/>
      </c>
    </row>
    <row r="41">
      <c r="A41" t="n">
        <v>45</v>
      </c>
      <c r="B41" t="inlineStr">
        <is>
          <t>Sennett, PC</t>
        </is>
      </c>
      <c r="C41" t="n">
        <v>0</v>
      </c>
      <c r="D41" t="n">
        <v>1</v>
      </c>
      <c r="E41" t="n">
        <v>0</v>
      </c>
      <c r="F41" t="n">
        <v>0</v>
      </c>
      <c r="G41" t="b">
        <v>0</v>
      </c>
      <c r="H41" t="n">
        <v>0</v>
      </c>
      <c r="I41" t="n">
        <v>0</v>
      </c>
      <c r="J41" t="n">
        <v>0</v>
      </c>
      <c r="K41" t="n">
        <v>0</v>
      </c>
      <c r="L41" t="n">
        <v>2</v>
      </c>
      <c r="M41" t="n">
        <v>1</v>
      </c>
      <c r="N41" t="n">
        <v>0</v>
      </c>
      <c r="O41" t="n">
        <v>0</v>
      </c>
      <c r="P41" s="7">
        <f>IF(SUM(H41:K41)=0,"",H41/SUM(H41:K41))</f>
        <v/>
      </c>
      <c r="Q41" s="7">
        <f>IF(SUM(H41:K41)=0,"",I41/SUM(H41:K41))</f>
        <v/>
      </c>
      <c r="R41" s="7">
        <f>IF(SUM(H41:K41)=0,"",J41/SUM(H41:K41))</f>
        <v/>
      </c>
      <c r="S41" s="7">
        <f>IF(SUM(H41:K41)=0,"",K41/SUM(H41:K41))</f>
        <v/>
      </c>
      <c r="T41" s="7">
        <f>IF(SUM(L41:O41)=0,"",L41/SUM(L41:O41))</f>
        <v/>
      </c>
      <c r="U41" s="7">
        <f>IF(SUM(L41:O41)=0,"",M41/SUM(L41:O41))</f>
        <v/>
      </c>
      <c r="V41" s="7">
        <f>IF(SUM(L41:O41)=0,"",N41/SUM(L41:O41))</f>
        <v/>
      </c>
      <c r="W41" s="7">
        <f>IF(SUM(L41:O41)=0,"",O41/SUM(L41:O41))</f>
        <v/>
      </c>
    </row>
    <row r="42">
      <c r="A42" t="n">
        <v>47</v>
      </c>
      <c r="B42" t="inlineStr">
        <is>
          <t>- Leafguard of Lake Erie, Inc.</t>
        </is>
      </c>
      <c r="C42" t="n">
        <v>0</v>
      </c>
      <c r="D42" t="n">
        <v>1</v>
      </c>
      <c r="E42" t="n">
        <v>0</v>
      </c>
      <c r="F42" t="n">
        <v>0</v>
      </c>
      <c r="G42" t="b">
        <v>0</v>
      </c>
      <c r="H42" t="n">
        <v>0</v>
      </c>
      <c r="I42" t="n">
        <v>0</v>
      </c>
      <c r="J42" t="n">
        <v>0</v>
      </c>
      <c r="K42" t="n">
        <v>0</v>
      </c>
      <c r="L42" t="n">
        <v>2</v>
      </c>
      <c r="M42" t="n">
        <v>1</v>
      </c>
      <c r="N42" t="n">
        <v>0</v>
      </c>
      <c r="O42" t="n">
        <v>0</v>
      </c>
      <c r="P42" s="7">
        <f>IF(SUM(H42:K42)=0,"",H42/SUM(H42:K42))</f>
        <v/>
      </c>
      <c r="Q42" s="7">
        <f>IF(SUM(H42:K42)=0,"",I42/SUM(H42:K42))</f>
        <v/>
      </c>
      <c r="R42" s="7">
        <f>IF(SUM(H42:K42)=0,"",J42/SUM(H42:K42))</f>
        <v/>
      </c>
      <c r="S42" s="7">
        <f>IF(SUM(H42:K42)=0,"",K42/SUM(H42:K42))</f>
        <v/>
      </c>
      <c r="T42" s="7">
        <f>IF(SUM(L42:O42)=0,"",L42/SUM(L42:O42))</f>
        <v/>
      </c>
      <c r="U42" s="7">
        <f>IF(SUM(L42:O42)=0,"",M42/SUM(L42:O42))</f>
        <v/>
      </c>
      <c r="V42" s="7">
        <f>IF(SUM(L42:O42)=0,"",N42/SUM(L42:O42))</f>
        <v/>
      </c>
      <c r="W42" s="7">
        <f>IF(SUM(L42:O42)=0,"",O42/SUM(L42:O42))</f>
        <v/>
      </c>
    </row>
    <row r="43">
      <c r="A43" t="n">
        <v>50</v>
      </c>
      <c r="B43" t="inlineStr">
        <is>
          <t>Lollie &amp;amp; Co., LLC</t>
        </is>
      </c>
      <c r="C43" t="n">
        <v>0</v>
      </c>
      <c r="D43" t="n">
        <v>1</v>
      </c>
      <c r="E43" t="n">
        <v>0</v>
      </c>
      <c r="F43" t="n">
        <v>0</v>
      </c>
      <c r="G43" t="b">
        <v>0</v>
      </c>
      <c r="H43" t="n">
        <v>0</v>
      </c>
      <c r="I43" t="n">
        <v>0</v>
      </c>
      <c r="J43" t="n">
        <v>0</v>
      </c>
      <c r="K43" t="n">
        <v>0</v>
      </c>
      <c r="L43" t="n">
        <v>2</v>
      </c>
      <c r="M43" t="n">
        <v>1</v>
      </c>
      <c r="N43" t="n">
        <v>0</v>
      </c>
      <c r="O43" t="n">
        <v>0</v>
      </c>
      <c r="P43" s="7">
        <f>IF(SUM(H43:K43)=0,"",H43/SUM(H43:K43))</f>
        <v/>
      </c>
      <c r="Q43" s="7">
        <f>IF(SUM(H43:K43)=0,"",I43/SUM(H43:K43))</f>
        <v/>
      </c>
      <c r="R43" s="7">
        <f>IF(SUM(H43:K43)=0,"",J43/SUM(H43:K43))</f>
        <v/>
      </c>
      <c r="S43" s="7">
        <f>IF(SUM(H43:K43)=0,"",K43/SUM(H43:K43))</f>
        <v/>
      </c>
      <c r="T43" s="7">
        <f>IF(SUM(L43:O43)=0,"",L43/SUM(L43:O43))</f>
        <v/>
      </c>
      <c r="U43" s="7">
        <f>IF(SUM(L43:O43)=0,"",M43/SUM(L43:O43))</f>
        <v/>
      </c>
      <c r="V43" s="7">
        <f>IF(SUM(L43:O43)=0,"",N43/SUM(L43:O43))</f>
        <v/>
      </c>
      <c r="W43" s="7">
        <f>IF(SUM(L43:O43)=0,"",O43/SUM(L43:O43))</f>
        <v/>
      </c>
    </row>
    <row r="44">
      <c r="A44" t="n">
        <v>60</v>
      </c>
      <c r="B44" t="inlineStr">
        <is>
          <t>Mercyhurst University</t>
        </is>
      </c>
      <c r="C44" t="n">
        <v>0</v>
      </c>
      <c r="D44" t="n">
        <v>1</v>
      </c>
      <c r="E44" t="n">
        <v>0</v>
      </c>
      <c r="F44" t="n">
        <v>0</v>
      </c>
      <c r="G44" t="b">
        <v>0</v>
      </c>
      <c r="H44" t="n">
        <v>0</v>
      </c>
      <c r="I44" t="n">
        <v>0</v>
      </c>
      <c r="J44" t="n">
        <v>0</v>
      </c>
      <c r="K44" t="n">
        <v>0</v>
      </c>
      <c r="L44" t="n">
        <v>2</v>
      </c>
      <c r="M44" t="n">
        <v>1</v>
      </c>
      <c r="N44" t="n">
        <v>0</v>
      </c>
      <c r="O44" t="n">
        <v>0</v>
      </c>
      <c r="P44" s="7">
        <f>IF(SUM(H44:K44)=0,"",H44/SUM(H44:K44))</f>
        <v/>
      </c>
      <c r="Q44" s="7">
        <f>IF(SUM(H44:K44)=0,"",I44/SUM(H44:K44))</f>
        <v/>
      </c>
      <c r="R44" s="7">
        <f>IF(SUM(H44:K44)=0,"",J44/SUM(H44:K44))</f>
        <v/>
      </c>
      <c r="S44" s="7">
        <f>IF(SUM(H44:K44)=0,"",K44/SUM(H44:K44))</f>
        <v/>
      </c>
      <c r="T44" s="7">
        <f>IF(SUM(L44:O44)=0,"",L44/SUM(L44:O44))</f>
        <v/>
      </c>
      <c r="U44" s="7">
        <f>IF(SUM(L44:O44)=0,"",M44/SUM(L44:O44))</f>
        <v/>
      </c>
      <c r="V44" s="7">
        <f>IF(SUM(L44:O44)=0,"",N44/SUM(L44:O44))</f>
        <v/>
      </c>
      <c r="W44" s="7">
        <f>IF(SUM(L44:O44)=0,"",O44/SUM(L44:O44))</f>
        <v/>
      </c>
    </row>
    <row r="45">
      <c r="A45" t="n">
        <v>62</v>
      </c>
      <c r="B45" t="inlineStr">
        <is>
          <t>- North East Borough North East Community Players</t>
        </is>
      </c>
      <c r="C45" t="n">
        <v>0</v>
      </c>
      <c r="D45" t="n">
        <v>1</v>
      </c>
      <c r="E45" t="n">
        <v>0</v>
      </c>
      <c r="F45" t="n">
        <v>0</v>
      </c>
      <c r="G45" t="b">
        <v>0</v>
      </c>
      <c r="H45" t="n">
        <v>0</v>
      </c>
      <c r="I45" t="n">
        <v>0</v>
      </c>
      <c r="J45" t="n">
        <v>0</v>
      </c>
      <c r="K45" t="n">
        <v>0</v>
      </c>
      <c r="L45" t="n">
        <v>2</v>
      </c>
      <c r="M45" t="n">
        <v>1</v>
      </c>
      <c r="N45" t="n">
        <v>0</v>
      </c>
      <c r="O45" t="n">
        <v>0</v>
      </c>
      <c r="P45" s="7">
        <f>IF(SUM(H45:K45)=0,"",H45/SUM(H45:K45))</f>
        <v/>
      </c>
      <c r="Q45" s="7">
        <f>IF(SUM(H45:K45)=0,"",I45/SUM(H45:K45))</f>
        <v/>
      </c>
      <c r="R45" s="7">
        <f>IF(SUM(H45:K45)=0,"",J45/SUM(H45:K45))</f>
        <v/>
      </c>
      <c r="S45" s="7">
        <f>IF(SUM(H45:K45)=0,"",K45/SUM(H45:K45))</f>
        <v/>
      </c>
      <c r="T45" s="7">
        <f>IF(SUM(L45:O45)=0,"",L45/SUM(L45:O45))</f>
        <v/>
      </c>
      <c r="U45" s="7">
        <f>IF(SUM(L45:O45)=0,"",M45/SUM(L45:O45))</f>
        <v/>
      </c>
      <c r="V45" s="7">
        <f>IF(SUM(L45:O45)=0,"",N45/SUM(L45:O45))</f>
        <v/>
      </c>
      <c r="W45" s="7">
        <f>IF(SUM(L45:O45)=0,"",O45/SUM(L45:O45))</f>
        <v/>
      </c>
    </row>
    <row r="46">
      <c r="A46" t="n">
        <v>63</v>
      </c>
      <c r="B46" t="inlineStr">
        <is>
          <t>North East in Bloom</t>
        </is>
      </c>
      <c r="C46" t="n">
        <v>0</v>
      </c>
      <c r="D46" t="n">
        <v>1</v>
      </c>
      <c r="E46" t="n">
        <v>0</v>
      </c>
      <c r="F46" t="n">
        <v>0</v>
      </c>
      <c r="G46" t="b">
        <v>0</v>
      </c>
      <c r="H46" t="n">
        <v>0</v>
      </c>
      <c r="I46" t="n">
        <v>0</v>
      </c>
      <c r="J46" t="n">
        <v>0</v>
      </c>
      <c r="K46" t="n">
        <v>0</v>
      </c>
      <c r="L46" t="n">
        <v>2</v>
      </c>
      <c r="M46" t="n">
        <v>1</v>
      </c>
      <c r="N46" t="n">
        <v>0</v>
      </c>
      <c r="O46" t="n">
        <v>0</v>
      </c>
      <c r="P46" s="7">
        <f>IF(SUM(H46:K46)=0,"",H46/SUM(H46:K46))</f>
        <v/>
      </c>
      <c r="Q46" s="7">
        <f>IF(SUM(H46:K46)=0,"",I46/SUM(H46:K46))</f>
        <v/>
      </c>
      <c r="R46" s="7">
        <f>IF(SUM(H46:K46)=0,"",J46/SUM(H46:K46))</f>
        <v/>
      </c>
      <c r="S46" s="7">
        <f>IF(SUM(H46:K46)=0,"",K46/SUM(H46:K46))</f>
        <v/>
      </c>
      <c r="T46" s="7">
        <f>IF(SUM(L46:O46)=0,"",L46/SUM(L46:O46))</f>
        <v/>
      </c>
      <c r="U46" s="7">
        <f>IF(SUM(L46:O46)=0,"",M46/SUM(L46:O46))</f>
        <v/>
      </c>
      <c r="V46" s="7">
        <f>IF(SUM(L46:O46)=0,"",N46/SUM(L46:O46))</f>
        <v/>
      </c>
      <c r="W46" s="7">
        <f>IF(SUM(L46:O46)=0,"",O46/SUM(L46:O46))</f>
        <v/>
      </c>
    </row>
    <row r="47">
      <c r="A47" t="n">
        <v>65</v>
      </c>
      <c r="B47" t="inlineStr">
        <is>
          <t>- Orton &amp;amp; Orton, LLC</t>
        </is>
      </c>
      <c r="C47" t="n">
        <v>0</v>
      </c>
      <c r="D47" t="n">
        <v>1</v>
      </c>
      <c r="E47" t="n">
        <v>0</v>
      </c>
      <c r="F47" t="n">
        <v>0</v>
      </c>
      <c r="G47" t="b">
        <v>0</v>
      </c>
      <c r="H47" t="n">
        <v>0</v>
      </c>
      <c r="I47" t="n">
        <v>0</v>
      </c>
      <c r="J47" t="n">
        <v>0</v>
      </c>
      <c r="K47" t="n">
        <v>0</v>
      </c>
      <c r="L47" t="n">
        <v>2</v>
      </c>
      <c r="M47" t="n">
        <v>1</v>
      </c>
      <c r="N47" t="n">
        <v>0</v>
      </c>
      <c r="O47" t="n">
        <v>0</v>
      </c>
      <c r="P47" s="7">
        <f>IF(SUM(H47:K47)=0,"",H47/SUM(H47:K47))</f>
        <v/>
      </c>
      <c r="Q47" s="7">
        <f>IF(SUM(H47:K47)=0,"",I47/SUM(H47:K47))</f>
        <v/>
      </c>
      <c r="R47" s="7">
        <f>IF(SUM(H47:K47)=0,"",J47/SUM(H47:K47))</f>
        <v/>
      </c>
      <c r="S47" s="7">
        <f>IF(SUM(H47:K47)=0,"",K47/SUM(H47:K47))</f>
        <v/>
      </c>
      <c r="T47" s="7">
        <f>IF(SUM(L47:O47)=0,"",L47/SUM(L47:O47))</f>
        <v/>
      </c>
      <c r="U47" s="7">
        <f>IF(SUM(L47:O47)=0,"",M47/SUM(L47:O47))</f>
        <v/>
      </c>
      <c r="V47" s="7">
        <f>IF(SUM(L47:O47)=0,"",N47/SUM(L47:O47))</f>
        <v/>
      </c>
      <c r="W47" s="7">
        <f>IF(SUM(L47:O47)=0,"",O47/SUM(L47:O47))</f>
        <v/>
      </c>
    </row>
    <row r="48">
      <c r="A48" t="n">
        <v>76</v>
      </c>
      <c r="B48" t="inlineStr">
        <is>
          <t>[individual_tag] &amp;amp; [individual_tag] Sample News Group</t>
        </is>
      </c>
      <c r="C48" t="n">
        <v>0</v>
      </c>
      <c r="D48" t="n">
        <v>1</v>
      </c>
      <c r="E48" t="n">
        <v>0</v>
      </c>
      <c r="F48" t="n">
        <v>0</v>
      </c>
      <c r="G48" t="b">
        <v>0</v>
      </c>
      <c r="H48" t="n">
        <v>0</v>
      </c>
      <c r="I48" t="n">
        <v>0</v>
      </c>
      <c r="J48" t="n">
        <v>0</v>
      </c>
      <c r="K48" t="n">
        <v>0</v>
      </c>
      <c r="L48" t="n">
        <v>2</v>
      </c>
      <c r="M48" t="n">
        <v>1</v>
      </c>
      <c r="N48" t="n">
        <v>0</v>
      </c>
      <c r="O48" t="n">
        <v>0</v>
      </c>
      <c r="P48" s="7">
        <f>IF(SUM(H48:K48)=0,"",H48/SUM(H48:K48))</f>
        <v/>
      </c>
      <c r="Q48" s="7">
        <f>IF(SUM(H48:K48)=0,"",I48/SUM(H48:K48))</f>
        <v/>
      </c>
      <c r="R48" s="7">
        <f>IF(SUM(H48:K48)=0,"",J48/SUM(H48:K48))</f>
        <v/>
      </c>
      <c r="S48" s="7">
        <f>IF(SUM(H48:K48)=0,"",K48/SUM(H48:K48))</f>
        <v/>
      </c>
      <c r="T48" s="7">
        <f>IF(SUM(L48:O48)=0,"",L48/SUM(L48:O48))</f>
        <v/>
      </c>
      <c r="U48" s="7">
        <f>IF(SUM(L48:O48)=0,"",M48/SUM(L48:O48))</f>
        <v/>
      </c>
      <c r="V48" s="7">
        <f>IF(SUM(L48:O48)=0,"",N48/SUM(L48:O48))</f>
        <v/>
      </c>
      <c r="W48" s="7">
        <f>IF(SUM(L48:O48)=0,"",O48/SUM(L48:O48))</f>
        <v/>
      </c>
    </row>
    <row r="49">
      <c r="A49" t="n">
        <v>78</v>
      </c>
      <c r="B49" t="inlineStr">
        <is>
          <t>Corry Journal</t>
        </is>
      </c>
      <c r="C49" t="n">
        <v>0</v>
      </c>
      <c r="D49" t="n">
        <v>1</v>
      </c>
      <c r="E49" t="n">
        <v>0</v>
      </c>
      <c r="F49" t="n">
        <v>0</v>
      </c>
      <c r="G49" t="b">
        <v>0</v>
      </c>
      <c r="H49" t="n">
        <v>0</v>
      </c>
      <c r="I49" t="n">
        <v>0</v>
      </c>
      <c r="J49" t="n">
        <v>0</v>
      </c>
      <c r="K49" t="n">
        <v>0</v>
      </c>
      <c r="L49" t="n">
        <v>2</v>
      </c>
      <c r="M49" t="n">
        <v>1</v>
      </c>
      <c r="N49" t="n">
        <v>0</v>
      </c>
      <c r="O49" t="n">
        <v>0</v>
      </c>
      <c r="P49" s="7">
        <f>IF(SUM(H49:K49)=0,"",H49/SUM(H49:K49))</f>
        <v/>
      </c>
      <c r="Q49" s="7">
        <f>IF(SUM(H49:K49)=0,"",I49/SUM(H49:K49))</f>
        <v/>
      </c>
      <c r="R49" s="7">
        <f>IF(SUM(H49:K49)=0,"",J49/SUM(H49:K49))</f>
        <v/>
      </c>
      <c r="S49" s="7">
        <f>IF(SUM(H49:K49)=0,"",K49/SUM(H49:K49))</f>
        <v/>
      </c>
      <c r="T49" s="7">
        <f>IF(SUM(L49:O49)=0,"",L49/SUM(L49:O49))</f>
        <v/>
      </c>
      <c r="U49" s="7">
        <f>IF(SUM(L49:O49)=0,"",M49/SUM(L49:O49))</f>
        <v/>
      </c>
      <c r="V49" s="7">
        <f>IF(SUM(L49:O49)=0,"",N49/SUM(L49:O49))</f>
        <v/>
      </c>
      <c r="W49" s="7">
        <f>IF(SUM(L49:O49)=0,"",O49/SUM(L49:O49))</f>
        <v/>
      </c>
    </row>
    <row r="50">
      <c r="A50" t="n">
        <v>79</v>
      </c>
      <c r="B50" t="inlineStr">
        <is>
          <t>[individual_tag] &amp;amp; [individual_tag] [individual_tag] [individual_tag] [individual_tag] Skunk &amp;amp; Goat Tavern</t>
        </is>
      </c>
      <c r="C50" t="n">
        <v>0</v>
      </c>
      <c r="D50" t="n">
        <v>1</v>
      </c>
      <c r="E50" t="n">
        <v>0</v>
      </c>
      <c r="F50" t="n">
        <v>0</v>
      </c>
      <c r="G50" t="b">
        <v>0</v>
      </c>
      <c r="H50" t="n">
        <v>0</v>
      </c>
      <c r="I50" t="n">
        <v>0</v>
      </c>
      <c r="J50" t="n">
        <v>0</v>
      </c>
      <c r="K50" t="n">
        <v>0</v>
      </c>
      <c r="L50" t="n">
        <v>2</v>
      </c>
      <c r="M50" t="n">
        <v>1</v>
      </c>
      <c r="N50" t="n">
        <v>0</v>
      </c>
      <c r="O50" t="n">
        <v>0</v>
      </c>
      <c r="P50" s="7">
        <f>IF(SUM(H50:K50)=0,"",H50/SUM(H50:K50))</f>
        <v/>
      </c>
      <c r="Q50" s="7">
        <f>IF(SUM(H50:K50)=0,"",I50/SUM(H50:K50))</f>
        <v/>
      </c>
      <c r="R50" s="7">
        <f>IF(SUM(H50:K50)=0,"",J50/SUM(H50:K50))</f>
        <v/>
      </c>
      <c r="S50" s="7">
        <f>IF(SUM(H50:K50)=0,"",K50/SUM(H50:K50))</f>
        <v/>
      </c>
      <c r="T50" s="7">
        <f>IF(SUM(L50:O50)=0,"",L50/SUM(L50:O50))</f>
        <v/>
      </c>
      <c r="U50" s="7">
        <f>IF(SUM(L50:O50)=0,"",M50/SUM(L50:O50))</f>
        <v/>
      </c>
      <c r="V50" s="7">
        <f>IF(SUM(L50:O50)=0,"",N50/SUM(L50:O50))</f>
        <v/>
      </c>
      <c r="W50" s="7">
        <f>IF(SUM(L50:O50)=0,"",O50/SUM(L50:O50))</f>
        <v/>
      </c>
    </row>
    <row r="51">
      <c r="A51" t="n">
        <v>80</v>
      </c>
      <c r="B51" t="inlineStr">
        <is>
          <t>[individual_tag] &amp;amp; [individual_tag] Stetson Brothers Ace Hardware Straw Hat, LLC SWELL</t>
        </is>
      </c>
      <c r="C51" t="n">
        <v>0</v>
      </c>
      <c r="D51" t="n">
        <v>1</v>
      </c>
      <c r="E51" t="n">
        <v>0</v>
      </c>
      <c r="F51" t="n">
        <v>0</v>
      </c>
      <c r="G51" t="b">
        <v>0</v>
      </c>
      <c r="H51" t="n">
        <v>0</v>
      </c>
      <c r="I51" t="n">
        <v>0</v>
      </c>
      <c r="J51" t="n">
        <v>0</v>
      </c>
      <c r="K51" t="n">
        <v>0</v>
      </c>
      <c r="L51" t="n">
        <v>2</v>
      </c>
      <c r="M51" t="n">
        <v>1</v>
      </c>
      <c r="N51" t="n">
        <v>0</v>
      </c>
      <c r="O51" t="n">
        <v>0</v>
      </c>
      <c r="P51" s="7">
        <f>IF(SUM(H51:K51)=0,"",H51/SUM(H51:K51))</f>
        <v/>
      </c>
      <c r="Q51" s="7">
        <f>IF(SUM(H51:K51)=0,"",I51/SUM(H51:K51))</f>
        <v/>
      </c>
      <c r="R51" s="7">
        <f>IF(SUM(H51:K51)=0,"",J51/SUM(H51:K51))</f>
        <v/>
      </c>
      <c r="S51" s="7">
        <f>IF(SUM(H51:K51)=0,"",K51/SUM(H51:K51))</f>
        <v/>
      </c>
      <c r="T51" s="7">
        <f>IF(SUM(L51:O51)=0,"",L51/SUM(L51:O51))</f>
        <v/>
      </c>
      <c r="U51" s="7">
        <f>IF(SUM(L51:O51)=0,"",M51/SUM(L51:O51))</f>
        <v/>
      </c>
      <c r="V51" s="7">
        <f>IF(SUM(L51:O51)=0,"",N51/SUM(L51:O51))</f>
        <v/>
      </c>
      <c r="W51" s="7">
        <f>IF(SUM(L51:O51)=0,"",O51/SUM(L51:O51))</f>
        <v/>
      </c>
    </row>
    <row r="52">
      <c r="A52" t="n">
        <v>81</v>
      </c>
      <c r="B52" t="inlineStr">
        <is>
          <t>[individual_tag] [individual_tag] Trolley Line Vineyards, LTD</t>
        </is>
      </c>
      <c r="C52" t="n">
        <v>0</v>
      </c>
      <c r="D52" t="n">
        <v>1</v>
      </c>
      <c r="E52" t="n">
        <v>0</v>
      </c>
      <c r="F52" t="n">
        <v>0</v>
      </c>
      <c r="G52" t="b">
        <v>0</v>
      </c>
      <c r="H52" t="n">
        <v>0</v>
      </c>
      <c r="I52" t="n">
        <v>0</v>
      </c>
      <c r="J52" t="n">
        <v>0</v>
      </c>
      <c r="K52" t="n">
        <v>0</v>
      </c>
      <c r="L52" t="n">
        <v>2</v>
      </c>
      <c r="M52" t="n">
        <v>1</v>
      </c>
      <c r="N52" t="n">
        <v>0</v>
      </c>
      <c r="O52" t="n">
        <v>0</v>
      </c>
      <c r="P52" s="7">
        <f>IF(SUM(H52:K52)=0,"",H52/SUM(H52:K52))</f>
        <v/>
      </c>
      <c r="Q52" s="7">
        <f>IF(SUM(H52:K52)=0,"",I52/SUM(H52:K52))</f>
        <v/>
      </c>
      <c r="R52" s="7">
        <f>IF(SUM(H52:K52)=0,"",J52/SUM(H52:K52))</f>
        <v/>
      </c>
      <c r="S52" s="7">
        <f>IF(SUM(H52:K52)=0,"",K52/SUM(H52:K52))</f>
        <v/>
      </c>
      <c r="T52" s="7">
        <f>IF(SUM(L52:O52)=0,"",L52/SUM(L52:O52))</f>
        <v/>
      </c>
      <c r="U52" s="7">
        <f>IF(SUM(L52:O52)=0,"",M52/SUM(L52:O52))</f>
        <v/>
      </c>
      <c r="V52" s="7">
        <f>IF(SUM(L52:O52)=0,"",N52/SUM(L52:O52))</f>
        <v/>
      </c>
      <c r="W52" s="7">
        <f>IF(SUM(L52:O52)=0,"",O52/SUM(L52:O52))</f>
        <v/>
      </c>
    </row>
    <row r="53">
      <c r="A53" t="n">
        <v>82</v>
      </c>
      <c r="B53" t="inlineStr">
        <is>
          <t>[individual_tag] United Way of Erie County</t>
        </is>
      </c>
      <c r="C53" t="n">
        <v>0</v>
      </c>
      <c r="D53" t="n">
        <v>1</v>
      </c>
      <c r="E53" t="n">
        <v>0</v>
      </c>
      <c r="F53" t="n">
        <v>0</v>
      </c>
      <c r="G53" t="b">
        <v>0</v>
      </c>
      <c r="H53" t="n">
        <v>0</v>
      </c>
      <c r="I53" t="n">
        <v>0</v>
      </c>
      <c r="J53" t="n">
        <v>0</v>
      </c>
      <c r="K53" t="n">
        <v>0</v>
      </c>
      <c r="L53" t="n">
        <v>2</v>
      </c>
      <c r="M53" t="n">
        <v>1</v>
      </c>
      <c r="N53" t="n">
        <v>0</v>
      </c>
      <c r="O53" t="n">
        <v>0</v>
      </c>
      <c r="P53" s="7">
        <f>IF(SUM(H53:K53)=0,"",H53/SUM(H53:K53))</f>
        <v/>
      </c>
      <c r="Q53" s="7">
        <f>IF(SUM(H53:K53)=0,"",I53/SUM(H53:K53))</f>
        <v/>
      </c>
      <c r="R53" s="7">
        <f>IF(SUM(H53:K53)=0,"",J53/SUM(H53:K53))</f>
        <v/>
      </c>
      <c r="S53" s="7">
        <f>IF(SUM(H53:K53)=0,"",K53/SUM(H53:K53))</f>
        <v/>
      </c>
      <c r="T53" s="7">
        <f>IF(SUM(L53:O53)=0,"",L53/SUM(L53:O53))</f>
        <v/>
      </c>
      <c r="U53" s="7">
        <f>IF(SUM(L53:O53)=0,"",M53/SUM(L53:O53))</f>
        <v/>
      </c>
      <c r="V53" s="7">
        <f>IF(SUM(L53:O53)=0,"",N53/SUM(L53:O53))</f>
        <v/>
      </c>
      <c r="W53" s="7">
        <f>IF(SUM(L53:O53)=0,"",O53/SUM(L53:O53))</f>
        <v/>
      </c>
    </row>
    <row r="54">
      <c r="A54" t="n">
        <v>84</v>
      </c>
      <c r="B54" t="inlineStr">
        <is>
          <t>&amp;lt;&amp;lt;endorse&amp;gt;&amp;gt;   Tray &amp;lt;&amp;lt;cont\_id&amp;gt;&amp;gt;   Pkg &amp;lt;&amp;lt;gpb\_id&amp;gt;&amp;gt;   &amp;lt;&amp;lt;sequence&amp;gt;&amp;gt; &amp;lt;&amp;lt;imbarcode&amp;gt;&amp;gt;</t>
        </is>
      </c>
      <c r="C54" t="n">
        <v>0</v>
      </c>
      <c r="D54" t="n">
        <v>0</v>
      </c>
      <c r="E54" t="n">
        <v>0</v>
      </c>
      <c r="F54" t="n">
        <v>0</v>
      </c>
      <c r="G54" t="b">
        <v>0</v>
      </c>
      <c r="H54" t="n">
        <v>0</v>
      </c>
      <c r="I54" t="n">
        <v>0</v>
      </c>
      <c r="J54" t="n">
        <v>0</v>
      </c>
      <c r="K54" t="n">
        <v>0</v>
      </c>
      <c r="L54" t="n">
        <v>0</v>
      </c>
      <c r="M54" t="n">
        <v>0</v>
      </c>
      <c r="N54" t="n">
        <v>0</v>
      </c>
      <c r="O54" t="n">
        <v>0</v>
      </c>
      <c r="P54" s="7">
        <f>IF(SUM(H54:K54)=0,"",H54/SUM(H54:K54))</f>
        <v/>
      </c>
      <c r="Q54" s="7">
        <f>IF(SUM(H54:K54)=0,"",I54/SUM(H54:K54))</f>
        <v/>
      </c>
      <c r="R54" s="7">
        <f>IF(SUM(H54:K54)=0,"",J54/SUM(H54:K54))</f>
        <v/>
      </c>
      <c r="S54" s="7">
        <f>IF(SUM(H54:K54)=0,"",K54/SUM(H54:K54))</f>
        <v/>
      </c>
      <c r="T54" s="7">
        <f>IF(SUM(L54:O54)=0,"",L54/SUM(L54:O54))</f>
        <v/>
      </c>
      <c r="U54" s="7">
        <f>IF(SUM(L54:O54)=0,"",M54/SUM(L54:O54))</f>
        <v/>
      </c>
      <c r="V54" s="7">
        <f>IF(SUM(L54:O54)=0,"",N54/SUM(L54:O54))</f>
        <v/>
      </c>
      <c r="W54" s="7">
        <f>IF(SUM(L54:O54)=0,"",O54/SUM(L54:O54))</f>
        <v/>
      </c>
    </row>
    <row r="55">
      <c r="A55" t="n">
        <v>85</v>
      </c>
      <c r="B55" t="inlineStr">
        <is>
          <t>&amp;lt;&amp;lt;first&amp;gt;&amp;gt; &amp;lt;&amp;lt;last&amp;gt;&amp;gt; &amp;lt;&amp;lt;ocompany&amp;gt;&amp;gt; &amp;lt;&amp;lt;address&amp;gt;&amp;gt; &amp;lt;&amp;lt;address2&amp;gt;&amp;gt;</t>
        </is>
      </c>
      <c r="C55" t="n">
        <v>0</v>
      </c>
      <c r="D55" t="n">
        <v>0</v>
      </c>
      <c r="E55" t="n">
        <v>0</v>
      </c>
      <c r="F55" t="n">
        <v>0</v>
      </c>
      <c r="G55" t="b">
        <v>0</v>
      </c>
      <c r="H55" t="n">
        <v>0</v>
      </c>
      <c r="I55" t="n">
        <v>0</v>
      </c>
      <c r="J55" t="n">
        <v>0</v>
      </c>
      <c r="K55" t="n">
        <v>0</v>
      </c>
      <c r="L55" t="n">
        <v>0</v>
      </c>
      <c r="M55" t="n">
        <v>0</v>
      </c>
      <c r="N55" t="n">
        <v>0</v>
      </c>
      <c r="O55" t="n">
        <v>0</v>
      </c>
      <c r="P55" s="7">
        <f>IF(SUM(H55:K55)=0,"",H55/SUM(H55:K55))</f>
        <v/>
      </c>
      <c r="Q55" s="7">
        <f>IF(SUM(H55:K55)=0,"",I55/SUM(H55:K55))</f>
        <v/>
      </c>
      <c r="R55" s="7">
        <f>IF(SUM(H55:K55)=0,"",J55/SUM(H55:K55))</f>
        <v/>
      </c>
      <c r="S55" s="7">
        <f>IF(SUM(H55:K55)=0,"",K55/SUM(H55:K55))</f>
        <v/>
      </c>
      <c r="T55" s="7">
        <f>IF(SUM(L55:O55)=0,"",L55/SUM(L55:O55))</f>
        <v/>
      </c>
      <c r="U55" s="7">
        <f>IF(SUM(L55:O55)=0,"",M55/SUM(L55:O55))</f>
        <v/>
      </c>
      <c r="V55" s="7">
        <f>IF(SUM(L55:O55)=0,"",N55/SUM(L55:O55))</f>
        <v/>
      </c>
      <c r="W55" s="7">
        <f>IF(SUM(L55:O55)=0,"",O55/SUM(L55:O55))</f>
        <v/>
      </c>
    </row>
    <row r="56">
      <c r="A56" t="n">
        <v>86</v>
      </c>
      <c r="B56" t="inlineStr">
        <is>
          <t>&amp;lt;&amp;lt;city&amp;gt;&amp;gt;, &amp;lt;&amp;lt;st&amp;gt;&amp;gt; &amp;lt;&amp;lt;zip&amp;gt;&amp;gt;</t>
        </is>
      </c>
      <c r="C56" t="n">
        <v>0</v>
      </c>
      <c r="D56" t="n">
        <v>0</v>
      </c>
      <c r="E56" t="n">
        <v>0</v>
      </c>
      <c r="F56" t="n">
        <v>0</v>
      </c>
      <c r="G56" t="b">
        <v>0</v>
      </c>
      <c r="H56" t="n">
        <v>0</v>
      </c>
      <c r="I56" t="n">
        <v>0</v>
      </c>
      <c r="J56" t="n">
        <v>0</v>
      </c>
      <c r="K56" t="n">
        <v>0</v>
      </c>
      <c r="L56" t="n">
        <v>0</v>
      </c>
      <c r="M56" t="n">
        <v>0</v>
      </c>
      <c r="N56" t="n">
        <v>0</v>
      </c>
      <c r="O56" t="n">
        <v>0</v>
      </c>
      <c r="P56" s="7">
        <f>IF(SUM(H56:K56)=0,"",H56/SUM(H56:K56))</f>
        <v/>
      </c>
      <c r="Q56" s="7">
        <f>IF(SUM(H56:K56)=0,"",I56/SUM(H56:K56))</f>
        <v/>
      </c>
      <c r="R56" s="7">
        <f>IF(SUM(H56:K56)=0,"",J56/SUM(H56:K56))</f>
        <v/>
      </c>
      <c r="S56" s="7">
        <f>IF(SUM(H56:K56)=0,"",K56/SUM(H56:K56))</f>
        <v/>
      </c>
      <c r="T56" s="7">
        <f>IF(SUM(L56:O56)=0,"",L56/SUM(L56:O56))</f>
        <v/>
      </c>
      <c r="U56" s="7">
        <f>IF(SUM(L56:O56)=0,"",M56/SUM(L56:O56))</f>
        <v/>
      </c>
      <c r="V56" s="7">
        <f>IF(SUM(L56:O56)=0,"",N56/SUM(L56:O56))</f>
        <v/>
      </c>
      <c r="W56" s="7">
        <f>IF(SUM(L56:O56)=0,"",O56/SUM(L56:O56))</f>
        <v/>
      </c>
    </row>
    <row r="57">
      <c r="A57" t="n">
        <v>87</v>
      </c>
      <c r="B57" t="inlineStr">
        <is>
          <t>A letter from the Chairman</t>
        </is>
      </c>
      <c r="C57" t="n">
        <v>0</v>
      </c>
      <c r="D57" t="n">
        <v>1</v>
      </c>
      <c r="E57" t="n">
        <v>0</v>
      </c>
      <c r="F57" t="n">
        <v>0</v>
      </c>
      <c r="G57" t="b">
        <v>0</v>
      </c>
      <c r="H57" t="n">
        <v>0</v>
      </c>
      <c r="I57" t="n">
        <v>0</v>
      </c>
      <c r="J57" t="n">
        <v>0</v>
      </c>
      <c r="K57" t="n">
        <v>0</v>
      </c>
      <c r="L57" t="n">
        <v>2</v>
      </c>
      <c r="M57" t="n">
        <v>0</v>
      </c>
      <c r="N57" t="n">
        <v>1</v>
      </c>
      <c r="O57" t="n">
        <v>0</v>
      </c>
      <c r="P57" s="7">
        <f>IF(SUM(H57:K57)=0,"",H57/SUM(H57:K57))</f>
        <v/>
      </c>
      <c r="Q57" s="7">
        <f>IF(SUM(H57:K57)=0,"",I57/SUM(H57:K57))</f>
        <v/>
      </c>
      <c r="R57" s="7">
        <f>IF(SUM(H57:K57)=0,"",J57/SUM(H57:K57))</f>
        <v/>
      </c>
      <c r="S57" s="7">
        <f>IF(SUM(H57:K57)=0,"",K57/SUM(H57:K57))</f>
        <v/>
      </c>
      <c r="T57" s="7">
        <f>IF(SUM(L57:O57)=0,"",L57/SUM(L57:O57))</f>
        <v/>
      </c>
      <c r="U57" s="7">
        <f>IF(SUM(L57:O57)=0,"",M57/SUM(L57:O57))</f>
        <v/>
      </c>
      <c r="V57" s="7">
        <f>IF(SUM(L57:O57)=0,"",N57/SUM(L57:O57))</f>
        <v/>
      </c>
      <c r="W57" s="7">
        <f>IF(SUM(L57:O57)=0,"",O57/SUM(L57:O57))</f>
        <v/>
      </c>
    </row>
    <row r="58">
      <c r="A58" t="n">
        <v>88</v>
      </c>
      <c r="B58" t="inlineStr">
        <is>
          <t>Dear members of the North East community,</t>
        </is>
      </c>
      <c r="C58" t="n">
        <v>0</v>
      </c>
      <c r="D58" t="n">
        <v>1</v>
      </c>
      <c r="E58" t="n">
        <v>0</v>
      </c>
      <c r="F58" t="n">
        <v>0</v>
      </c>
      <c r="G58" t="b">
        <v>0</v>
      </c>
      <c r="H58" t="n">
        <v>0</v>
      </c>
      <c r="I58" t="n">
        <v>0</v>
      </c>
      <c r="J58" t="n">
        <v>0</v>
      </c>
      <c r="K58" t="n">
        <v>0</v>
      </c>
      <c r="L58" t="n">
        <v>2</v>
      </c>
      <c r="M58" t="n">
        <v>0</v>
      </c>
      <c r="N58" t="n">
        <v>1</v>
      </c>
      <c r="O58" t="n">
        <v>0</v>
      </c>
      <c r="P58" s="7">
        <f>IF(SUM(H58:K58)=0,"",H58/SUM(H58:K58))</f>
        <v/>
      </c>
      <c r="Q58" s="7">
        <f>IF(SUM(H58:K58)=0,"",I58/SUM(H58:K58))</f>
        <v/>
      </c>
      <c r="R58" s="7">
        <f>IF(SUM(H58:K58)=0,"",J58/SUM(H58:K58))</f>
        <v/>
      </c>
      <c r="S58" s="7">
        <f>IF(SUM(H58:K58)=0,"",K58/SUM(H58:K58))</f>
        <v/>
      </c>
      <c r="T58" s="7">
        <f>IF(SUM(L58:O58)=0,"",L58/SUM(L58:O58))</f>
        <v/>
      </c>
      <c r="U58" s="7">
        <f>IF(SUM(L58:O58)=0,"",M58/SUM(L58:O58))</f>
        <v/>
      </c>
      <c r="V58" s="7">
        <f>IF(SUM(L58:O58)=0,"",N58/SUM(L58:O58))</f>
        <v/>
      </c>
      <c r="W58" s="7">
        <f>IF(SUM(L58:O58)=0,"",O58/SUM(L58:O58))</f>
        <v/>
      </c>
    </row>
    <row r="59">
      <c r="A59" t="n">
        <v>89</v>
      </c>
      <c r="B59" t="inlineStr">
        <is>
          <t>When I joined the board of [community_foundation_tag] it was 2001, I was 36 and [community_foundation_tag] felt blessed to have $250,000.</t>
        </is>
      </c>
      <c r="C59" t="n">
        <v>0</v>
      </c>
      <c r="D59" t="n">
        <v>2</v>
      </c>
      <c r="E59" t="n">
        <v>0</v>
      </c>
      <c r="F59" t="n">
        <v>0</v>
      </c>
      <c r="G59" t="b">
        <v>0</v>
      </c>
      <c r="H59" t="n">
        <v>0</v>
      </c>
      <c r="I59" t="n">
        <v>0</v>
      </c>
      <c r="J59" t="n">
        <v>0</v>
      </c>
      <c r="K59" t="n">
        <v>0</v>
      </c>
      <c r="L59" t="n">
        <v>4</v>
      </c>
      <c r="M59" t="n">
        <v>0</v>
      </c>
      <c r="N59" t="n">
        <v>2</v>
      </c>
      <c r="O59" t="n">
        <v>0</v>
      </c>
      <c r="P59" s="7">
        <f>IF(SUM(H59:K59)=0,"",H59/SUM(H59:K59))</f>
        <v/>
      </c>
      <c r="Q59" s="7">
        <f>IF(SUM(H59:K59)=0,"",I59/SUM(H59:K59))</f>
        <v/>
      </c>
      <c r="R59" s="7">
        <f>IF(SUM(H59:K59)=0,"",J59/SUM(H59:K59))</f>
        <v/>
      </c>
      <c r="S59" s="7">
        <f>IF(SUM(H59:K59)=0,"",K59/SUM(H59:K59))</f>
        <v/>
      </c>
      <c r="T59" s="7">
        <f>IF(SUM(L59:O59)=0,"",L59/SUM(L59:O59))</f>
        <v/>
      </c>
      <c r="U59" s="7">
        <f>IF(SUM(L59:O59)=0,"",M59/SUM(L59:O59))</f>
        <v/>
      </c>
      <c r="V59" s="7">
        <f>IF(SUM(L59:O59)=0,"",N59/SUM(L59:O59))</f>
        <v/>
      </c>
      <c r="W59" s="7">
        <f>IF(SUM(L59:O59)=0,"",O59/SUM(L59:O59))</f>
        <v/>
      </c>
    </row>
    <row r="60">
      <c r="A60" t="n">
        <v>90</v>
      </c>
      <c r="B60" t="inlineStr">
        <is>
          <t>Recently [community_foundation_tag] celebrated two significant milestones - [community_foundation_tag] 30th year impacting the quality of life in North East and an endowment that has grown to more than $10 million.</t>
        </is>
      </c>
      <c r="C60" t="n">
        <v>1</v>
      </c>
      <c r="D60" t="n">
        <v>1</v>
      </c>
      <c r="E60" t="n">
        <v>0</v>
      </c>
      <c r="F60" t="n">
        <v>0</v>
      </c>
      <c r="G60" t="b">
        <v>1</v>
      </c>
      <c r="H60" t="n">
        <v>2</v>
      </c>
      <c r="I60" t="n">
        <v>0</v>
      </c>
      <c r="J60" t="n">
        <v>0</v>
      </c>
      <c r="K60" t="n">
        <v>0</v>
      </c>
      <c r="L60" t="n">
        <v>2</v>
      </c>
      <c r="M60" t="n">
        <v>0</v>
      </c>
      <c r="N60" t="n">
        <v>1</v>
      </c>
      <c r="O60" t="n">
        <v>0</v>
      </c>
      <c r="P60" s="7">
        <f>IF(SUM(H60:K60)=0,"",H60/SUM(H60:K60))</f>
        <v/>
      </c>
      <c r="Q60" s="7">
        <f>IF(SUM(H60:K60)=0,"",I60/SUM(H60:K60))</f>
        <v/>
      </c>
      <c r="R60" s="7">
        <f>IF(SUM(H60:K60)=0,"",J60/SUM(H60:K60))</f>
        <v/>
      </c>
      <c r="S60" s="7">
        <f>IF(SUM(H60:K60)=0,"",K60/SUM(H60:K60))</f>
        <v/>
      </c>
      <c r="T60" s="7">
        <f>IF(SUM(L60:O60)=0,"",L60/SUM(L60:O60))</f>
        <v/>
      </c>
      <c r="U60" s="7">
        <f>IF(SUM(L60:O60)=0,"",M60/SUM(L60:O60))</f>
        <v/>
      </c>
      <c r="V60" s="7">
        <f>IF(SUM(L60:O60)=0,"",N60/SUM(L60:O60))</f>
        <v/>
      </c>
      <c r="W60" s="7">
        <f>IF(SUM(L60:O60)=0,"",O60/SUM(L60:O60))</f>
        <v/>
      </c>
    </row>
    <row r="61">
      <c r="A61" t="n">
        <v>91</v>
      </c>
      <c r="B61" t="inlineStr">
        <is>
          <t>Thinking of all that has been done over the last 30 years and all who have contributed their time, talents and resources to leave a lasting legacy on [community_foundation_tag] community is humbling.</t>
        </is>
      </c>
      <c r="C61" t="n">
        <v>0</v>
      </c>
      <c r="D61" t="n">
        <v>2</v>
      </c>
      <c r="E61" t="n">
        <v>0</v>
      </c>
      <c r="F61" t="n">
        <v>0</v>
      </c>
      <c r="G61" t="b">
        <v>0</v>
      </c>
      <c r="H61" t="n">
        <v>0</v>
      </c>
      <c r="I61" t="n">
        <v>0</v>
      </c>
      <c r="J61" t="n">
        <v>0</v>
      </c>
      <c r="K61" t="n">
        <v>0</v>
      </c>
      <c r="L61" t="n">
        <v>4</v>
      </c>
      <c r="M61" t="n">
        <v>1</v>
      </c>
      <c r="N61" t="n">
        <v>1</v>
      </c>
      <c r="O61" t="n">
        <v>0</v>
      </c>
      <c r="P61" s="7">
        <f>IF(SUM(H61:K61)=0,"",H61/SUM(H61:K61))</f>
        <v/>
      </c>
      <c r="Q61" s="7">
        <f>IF(SUM(H61:K61)=0,"",I61/SUM(H61:K61))</f>
        <v/>
      </c>
      <c r="R61" s="7">
        <f>IF(SUM(H61:K61)=0,"",J61/SUM(H61:K61))</f>
        <v/>
      </c>
      <c r="S61" s="7">
        <f>IF(SUM(H61:K61)=0,"",K61/SUM(H61:K61))</f>
        <v/>
      </c>
      <c r="T61" s="7">
        <f>IF(SUM(L61:O61)=0,"",L61/SUM(L61:O61))</f>
        <v/>
      </c>
      <c r="U61" s="7">
        <f>IF(SUM(L61:O61)=0,"",M61/SUM(L61:O61))</f>
        <v/>
      </c>
      <c r="V61" s="7">
        <f>IF(SUM(L61:O61)=0,"",N61/SUM(L61:O61))</f>
        <v/>
      </c>
      <c r="W61" s="7">
        <f>IF(SUM(L61:O61)=0,"",O61/SUM(L61:O61))</f>
        <v/>
      </c>
    </row>
    <row r="62">
      <c r="A62" t="n">
        <v>92</v>
      </c>
      <c r="B62" t="inlineStr">
        <is>
          <t>It's been said: with great power comes great responsibility.</t>
        </is>
      </c>
      <c r="C62" t="n">
        <v>0</v>
      </c>
      <c r="D62" t="n">
        <v>0</v>
      </c>
      <c r="E62" t="n">
        <v>0</v>
      </c>
      <c r="F62" t="n">
        <v>0</v>
      </c>
      <c r="G62" t="b">
        <v>0</v>
      </c>
      <c r="H62" t="n">
        <v>0</v>
      </c>
      <c r="I62" t="n">
        <v>0</v>
      </c>
      <c r="J62" t="n">
        <v>0</v>
      </c>
      <c r="K62" t="n">
        <v>0</v>
      </c>
      <c r="L62" t="n">
        <v>0</v>
      </c>
      <c r="M62" t="n">
        <v>0</v>
      </c>
      <c r="N62" t="n">
        <v>0</v>
      </c>
      <c r="O62" t="n">
        <v>0</v>
      </c>
      <c r="P62" s="7">
        <f>IF(SUM(H62:K62)=0,"",H62/SUM(H62:K62))</f>
        <v/>
      </c>
      <c r="Q62" s="7">
        <f>IF(SUM(H62:K62)=0,"",I62/SUM(H62:K62))</f>
        <v/>
      </c>
      <c r="R62" s="7">
        <f>IF(SUM(H62:K62)=0,"",J62/SUM(H62:K62))</f>
        <v/>
      </c>
      <c r="S62" s="7">
        <f>IF(SUM(H62:K62)=0,"",K62/SUM(H62:K62))</f>
        <v/>
      </c>
      <c r="T62" s="7">
        <f>IF(SUM(L62:O62)=0,"",L62/SUM(L62:O62))</f>
        <v/>
      </c>
      <c r="U62" s="7">
        <f>IF(SUM(L62:O62)=0,"",M62/SUM(L62:O62))</f>
        <v/>
      </c>
      <c r="V62" s="7">
        <f>IF(SUM(L62:O62)=0,"",N62/SUM(L62:O62))</f>
        <v/>
      </c>
      <c r="W62" s="7">
        <f>IF(SUM(L62:O62)=0,"",O62/SUM(L62:O62))</f>
        <v/>
      </c>
    </row>
    <row r="63">
      <c r="A63" t="n">
        <v>93</v>
      </c>
      <c r="B63" t="inlineStr">
        <is>
          <t>Which is why in 2021 [community_foundation_tag] began its own strategic visioning process.</t>
        </is>
      </c>
      <c r="C63" t="n">
        <v>1</v>
      </c>
      <c r="D63" t="n">
        <v>1</v>
      </c>
      <c r="E63" t="n">
        <v>0</v>
      </c>
      <c r="F63" t="n">
        <v>0</v>
      </c>
      <c r="G63" t="b">
        <v>1</v>
      </c>
      <c r="H63" t="n">
        <v>0</v>
      </c>
      <c r="I63" t="n">
        <v>0</v>
      </c>
      <c r="J63" t="n">
        <v>2</v>
      </c>
      <c r="K63" t="n">
        <v>0</v>
      </c>
      <c r="L63" t="n">
        <v>1</v>
      </c>
      <c r="M63" t="n">
        <v>0</v>
      </c>
      <c r="N63" t="n">
        <v>2</v>
      </c>
      <c r="O63" t="n">
        <v>0</v>
      </c>
      <c r="P63" s="7">
        <f>IF(SUM(H63:K63)=0,"",H63/SUM(H63:K63))</f>
        <v/>
      </c>
      <c r="Q63" s="7">
        <f>IF(SUM(H63:K63)=0,"",I63/SUM(H63:K63))</f>
        <v/>
      </c>
      <c r="R63" s="7">
        <f>IF(SUM(H63:K63)=0,"",J63/SUM(H63:K63))</f>
        <v/>
      </c>
      <c r="S63" s="7">
        <f>IF(SUM(H63:K63)=0,"",K63/SUM(H63:K63))</f>
        <v/>
      </c>
      <c r="T63" s="7">
        <f>IF(SUM(L63:O63)=0,"",L63/SUM(L63:O63))</f>
        <v/>
      </c>
      <c r="U63" s="7">
        <f>IF(SUM(L63:O63)=0,"",M63/SUM(L63:O63))</f>
        <v/>
      </c>
      <c r="V63" s="7">
        <f>IF(SUM(L63:O63)=0,"",N63/SUM(L63:O63))</f>
        <v/>
      </c>
      <c r="W63" s="7">
        <f>IF(SUM(L63:O63)=0,"",O63/SUM(L63:O63))</f>
        <v/>
      </c>
    </row>
    <row r="64">
      <c r="A64" t="n">
        <v>94</v>
      </c>
      <c r="B64" t="inlineStr">
        <is>
          <t>[community_foundation_tag] now have the funds to make meaningful and transformational change.</t>
        </is>
      </c>
      <c r="C64" t="n">
        <v>1</v>
      </c>
      <c r="D64" t="n">
        <v>1</v>
      </c>
      <c r="E64" t="n">
        <v>0</v>
      </c>
      <c r="F64" t="n">
        <v>0</v>
      </c>
      <c r="G64" t="b">
        <v>1</v>
      </c>
      <c r="H64" t="n">
        <v>0</v>
      </c>
      <c r="I64" t="n">
        <v>0</v>
      </c>
      <c r="J64" t="n">
        <v>2</v>
      </c>
      <c r="K64" t="n">
        <v>0</v>
      </c>
      <c r="L64" t="n">
        <v>1</v>
      </c>
      <c r="M64" t="n">
        <v>0</v>
      </c>
      <c r="N64" t="n">
        <v>2</v>
      </c>
      <c r="O64" t="n">
        <v>0</v>
      </c>
      <c r="P64" s="7">
        <f>IF(SUM(H64:K64)=0,"",H64/SUM(H64:K64))</f>
        <v/>
      </c>
      <c r="Q64" s="7">
        <f>IF(SUM(H64:K64)=0,"",I64/SUM(H64:K64))</f>
        <v/>
      </c>
      <c r="R64" s="7">
        <f>IF(SUM(H64:K64)=0,"",J64/SUM(H64:K64))</f>
        <v/>
      </c>
      <c r="S64" s="7">
        <f>IF(SUM(H64:K64)=0,"",K64/SUM(H64:K64))</f>
        <v/>
      </c>
      <c r="T64" s="7">
        <f>IF(SUM(L64:O64)=0,"",L64/SUM(L64:O64))</f>
        <v/>
      </c>
      <c r="U64" s="7">
        <f>IF(SUM(L64:O64)=0,"",M64/SUM(L64:O64))</f>
        <v/>
      </c>
      <c r="V64" s="7">
        <f>IF(SUM(L64:O64)=0,"",N64/SUM(L64:O64))</f>
        <v/>
      </c>
      <c r="W64" s="7">
        <f>IF(SUM(L64:O64)=0,"",O64/SUM(L64:O64))</f>
        <v/>
      </c>
    </row>
    <row r="65">
      <c r="A65" t="n">
        <v>95</v>
      </c>
      <c r="B65" t="inlineStr">
        <is>
          <t>Therefore, [community_foundation_tag] needed a vision, board structure and strategic direction to support it.</t>
        </is>
      </c>
      <c r="C65" t="n">
        <v>1</v>
      </c>
      <c r="D65" t="n">
        <v>2</v>
      </c>
      <c r="E65" t="n">
        <v>0</v>
      </c>
      <c r="F65" t="n">
        <v>0</v>
      </c>
      <c r="G65" t="b">
        <v>1</v>
      </c>
      <c r="H65" t="n">
        <v>0</v>
      </c>
      <c r="I65" t="n">
        <v>0</v>
      </c>
      <c r="J65" t="n">
        <v>2</v>
      </c>
      <c r="K65" t="n">
        <v>0</v>
      </c>
      <c r="L65" t="n">
        <v>2</v>
      </c>
      <c r="M65" t="n">
        <v>0</v>
      </c>
      <c r="N65" t="n">
        <v>4</v>
      </c>
      <c r="O65" t="n">
        <v>0</v>
      </c>
      <c r="P65" s="7">
        <f>IF(SUM(H65:K65)=0,"",H65/SUM(H65:K65))</f>
        <v/>
      </c>
      <c r="Q65" s="7">
        <f>IF(SUM(H65:K65)=0,"",I65/SUM(H65:K65))</f>
        <v/>
      </c>
      <c r="R65" s="7">
        <f>IF(SUM(H65:K65)=0,"",J65/SUM(H65:K65))</f>
        <v/>
      </c>
      <c r="S65" s="7">
        <f>IF(SUM(H65:K65)=0,"",K65/SUM(H65:K65))</f>
        <v/>
      </c>
      <c r="T65" s="7">
        <f>IF(SUM(L65:O65)=0,"",L65/SUM(L65:O65))</f>
        <v/>
      </c>
      <c r="U65" s="7">
        <f>IF(SUM(L65:O65)=0,"",M65/SUM(L65:O65))</f>
        <v/>
      </c>
      <c r="V65" s="7">
        <f>IF(SUM(L65:O65)=0,"",N65/SUM(L65:O65))</f>
        <v/>
      </c>
      <c r="W65" s="7">
        <f>IF(SUM(L65:O65)=0,"",O65/SUM(L65:O65))</f>
        <v/>
      </c>
    </row>
    <row r="66">
      <c r="A66" t="n">
        <v>96</v>
      </c>
      <c r="B66" t="inlineStr">
        <is>
          <t>Because collaboration is key to the success of any community or initiative, [community_foundation_tag] started the process by listening. Over the course of several months, the task force committee sat down with members of local government, nonprofits and agencies to gauge [community_foundation_tag] community and organization's strengths, weaknesses, needs and opportunities.</t>
        </is>
      </c>
      <c r="C66" t="n">
        <v>1</v>
      </c>
      <c r="D66" t="n">
        <v>3</v>
      </c>
      <c r="E66" t="n">
        <v>0</v>
      </c>
      <c r="F66" t="n">
        <v>0</v>
      </c>
      <c r="G66" t="b">
        <v>1</v>
      </c>
      <c r="H66" t="n">
        <v>0</v>
      </c>
      <c r="I66" t="n">
        <v>0</v>
      </c>
      <c r="J66" t="n">
        <v>2</v>
      </c>
      <c r="K66" t="n">
        <v>0</v>
      </c>
      <c r="L66" t="n">
        <v>0</v>
      </c>
      <c r="M66" t="n">
        <v>0</v>
      </c>
      <c r="N66" t="n">
        <v>6</v>
      </c>
      <c r="O66" t="n">
        <v>3</v>
      </c>
      <c r="P66" s="7">
        <f>IF(SUM(H66:K66)=0,"",H66/SUM(H66:K66))</f>
        <v/>
      </c>
      <c r="Q66" s="7">
        <f>IF(SUM(H66:K66)=0,"",I66/SUM(H66:K66))</f>
        <v/>
      </c>
      <c r="R66" s="7">
        <f>IF(SUM(H66:K66)=0,"",J66/SUM(H66:K66))</f>
        <v/>
      </c>
      <c r="S66" s="7">
        <f>IF(SUM(H66:K66)=0,"",K66/SUM(H66:K66))</f>
        <v/>
      </c>
      <c r="T66" s="7">
        <f>IF(SUM(L66:O66)=0,"",L66/SUM(L66:O66))</f>
        <v/>
      </c>
      <c r="U66" s="7">
        <f>IF(SUM(L66:O66)=0,"",M66/SUM(L66:O66))</f>
        <v/>
      </c>
      <c r="V66" s="7">
        <f>IF(SUM(L66:O66)=0,"",N66/SUM(L66:O66))</f>
        <v/>
      </c>
      <c r="W66" s="7">
        <f>IF(SUM(L66:O66)=0,"",O66/SUM(L66:O66))</f>
        <v/>
      </c>
    </row>
    <row r="67">
      <c r="A67" t="n">
        <v>97</v>
      </c>
      <c r="B67" t="inlineStr">
        <is>
          <t>After nearly a year of reflection and planning, [community_foundation_tag] is happy to release [community_foundation_tag] new strategic direction.</t>
        </is>
      </c>
      <c r="C67" t="n">
        <v>1</v>
      </c>
      <c r="D67" t="n">
        <v>1</v>
      </c>
      <c r="E67" t="n">
        <v>0</v>
      </c>
      <c r="F67" t="n">
        <v>0</v>
      </c>
      <c r="G67" t="b">
        <v>1</v>
      </c>
      <c r="H67" t="n">
        <v>0</v>
      </c>
      <c r="I67" t="n">
        <v>0</v>
      </c>
      <c r="J67" t="n">
        <v>2</v>
      </c>
      <c r="K67" t="n">
        <v>0</v>
      </c>
      <c r="L67" t="n">
        <v>1</v>
      </c>
      <c r="M67" t="n">
        <v>0</v>
      </c>
      <c r="N67" t="n">
        <v>2</v>
      </c>
      <c r="O67" t="n">
        <v>0</v>
      </c>
      <c r="P67" s="7">
        <f>IF(SUM(H67:K67)=0,"",H67/SUM(H67:K67))</f>
        <v/>
      </c>
      <c r="Q67" s="7">
        <f>IF(SUM(H67:K67)=0,"",I67/SUM(H67:K67))</f>
        <v/>
      </c>
      <c r="R67" s="7">
        <f>IF(SUM(H67:K67)=0,"",J67/SUM(H67:K67))</f>
        <v/>
      </c>
      <c r="S67" s="7">
        <f>IF(SUM(H67:K67)=0,"",K67/SUM(H67:K67))</f>
        <v/>
      </c>
      <c r="T67" s="7">
        <f>IF(SUM(L67:O67)=0,"",L67/SUM(L67:O67))</f>
        <v/>
      </c>
      <c r="U67" s="7">
        <f>IF(SUM(L67:O67)=0,"",M67/SUM(L67:O67))</f>
        <v/>
      </c>
      <c r="V67" s="7">
        <f>IF(SUM(L67:O67)=0,"",N67/SUM(L67:O67))</f>
        <v/>
      </c>
      <c r="W67" s="7">
        <f>IF(SUM(L67:O67)=0,"",O67/SUM(L67:O67))</f>
        <v/>
      </c>
    </row>
    <row r="68">
      <c r="A68" t="n">
        <v>98</v>
      </c>
      <c r="B68" t="inlineStr">
        <is>
          <t>You may view the document on [community_foundation_tag] website at [community_foundation_tag] , but here are a few highlights:</t>
        </is>
      </c>
      <c r="C68" t="n">
        <v>0</v>
      </c>
      <c r="D68" t="n">
        <v>0</v>
      </c>
      <c r="E68" t="n">
        <v>0</v>
      </c>
      <c r="F68" t="n">
        <v>0</v>
      </c>
      <c r="G68" t="b">
        <v>0</v>
      </c>
      <c r="H68" t="n">
        <v>0</v>
      </c>
      <c r="I68" t="n">
        <v>0</v>
      </c>
      <c r="J68" t="n">
        <v>0</v>
      </c>
      <c r="K68" t="n">
        <v>0</v>
      </c>
      <c r="L68" t="n">
        <v>0</v>
      </c>
      <c r="M68" t="n">
        <v>0</v>
      </c>
      <c r="N68" t="n">
        <v>0</v>
      </c>
      <c r="O68" t="n">
        <v>0</v>
      </c>
      <c r="P68" s="7">
        <f>IF(SUM(H68:K68)=0,"",H68/SUM(H68:K68))</f>
        <v/>
      </c>
      <c r="Q68" s="7">
        <f>IF(SUM(H68:K68)=0,"",I68/SUM(H68:K68))</f>
        <v/>
      </c>
      <c r="R68" s="7">
        <f>IF(SUM(H68:K68)=0,"",J68/SUM(H68:K68))</f>
        <v/>
      </c>
      <c r="S68" s="7">
        <f>IF(SUM(H68:K68)=0,"",K68/SUM(H68:K68))</f>
        <v/>
      </c>
      <c r="T68" s="7">
        <f>IF(SUM(L68:O68)=0,"",L68/SUM(L68:O68))</f>
        <v/>
      </c>
      <c r="U68" s="7">
        <f>IF(SUM(L68:O68)=0,"",M68/SUM(L68:O68))</f>
        <v/>
      </c>
      <c r="V68" s="7">
        <f>IF(SUM(L68:O68)=0,"",N68/SUM(L68:O68))</f>
        <v/>
      </c>
      <c r="W68" s="7">
        <f>IF(SUM(L68:O68)=0,"",O68/SUM(L68:O68))</f>
        <v/>
      </c>
    </row>
    <row r="69">
      <c r="A69" t="n">
        <v>99</v>
      </c>
      <c r="B69" t="inlineStr">
        <is>
          <t>[community_foundation_tag] mission is to improve the quality of life in and around North East by identifying, evaluating and addressing community issues, building charitable endowments and by promoting philanthropic and community leadership.</t>
        </is>
      </c>
      <c r="C69" t="n">
        <v>1</v>
      </c>
      <c r="D69" t="n">
        <v>2</v>
      </c>
      <c r="E69" t="n">
        <v>0</v>
      </c>
      <c r="F69" t="n">
        <v>0</v>
      </c>
      <c r="G69" t="b">
        <v>1</v>
      </c>
      <c r="H69" t="n">
        <v>1</v>
      </c>
      <c r="I69" t="n">
        <v>0</v>
      </c>
      <c r="J69" t="n">
        <v>2</v>
      </c>
      <c r="K69" t="n">
        <v>0</v>
      </c>
      <c r="L69" t="n">
        <v>3</v>
      </c>
      <c r="M69" t="n">
        <v>0</v>
      </c>
      <c r="N69" t="n">
        <v>3</v>
      </c>
      <c r="O69" t="n">
        <v>0</v>
      </c>
      <c r="P69" s="7">
        <f>IF(SUM(H69:K69)=0,"",H69/SUM(H69:K69))</f>
        <v/>
      </c>
      <c r="Q69" s="7">
        <f>IF(SUM(H69:K69)=0,"",I69/SUM(H69:K69))</f>
        <v/>
      </c>
      <c r="R69" s="7">
        <f>IF(SUM(H69:K69)=0,"",J69/SUM(H69:K69))</f>
        <v/>
      </c>
      <c r="S69" s="7">
        <f>IF(SUM(H69:K69)=0,"",K69/SUM(H69:K69))</f>
        <v/>
      </c>
      <c r="T69" s="7">
        <f>IF(SUM(L69:O69)=0,"",L69/SUM(L69:O69))</f>
        <v/>
      </c>
      <c r="U69" s="7">
        <f>IF(SUM(L69:O69)=0,"",M69/SUM(L69:O69))</f>
        <v/>
      </c>
      <c r="V69" s="7">
        <f>IF(SUM(L69:O69)=0,"",N69/SUM(L69:O69))</f>
        <v/>
      </c>
      <c r="W69" s="7">
        <f>IF(SUM(L69:O69)=0,"",O69/SUM(L69:O69))</f>
        <v/>
      </c>
    </row>
    <row r="70">
      <c r="A70" t="n">
        <v>100</v>
      </c>
      <c r="B70" t="inlineStr">
        <is>
          <t>Additionally [community_foundation_tag] vision includes:</t>
        </is>
      </c>
      <c r="C70" t="n">
        <v>0</v>
      </c>
      <c r="D70" t="n">
        <v>0</v>
      </c>
      <c r="E70" t="n">
        <v>0</v>
      </c>
      <c r="F70" t="n">
        <v>0</v>
      </c>
      <c r="G70" t="b">
        <v>0</v>
      </c>
      <c r="H70" t="n">
        <v>0</v>
      </c>
      <c r="I70" t="n">
        <v>0</v>
      </c>
      <c r="J70" t="n">
        <v>0</v>
      </c>
      <c r="K70" t="n">
        <v>0</v>
      </c>
      <c r="L70" t="n">
        <v>0</v>
      </c>
      <c r="M70" t="n">
        <v>0</v>
      </c>
      <c r="N70" t="n">
        <v>0</v>
      </c>
      <c r="O70" t="n">
        <v>0</v>
      </c>
      <c r="P70" s="7">
        <f>IF(SUM(H70:K70)=0,"",H70/SUM(H70:K70))</f>
        <v/>
      </c>
      <c r="Q70" s="7">
        <f>IF(SUM(H70:K70)=0,"",I70/SUM(H70:K70))</f>
        <v/>
      </c>
      <c r="R70" s="7">
        <f>IF(SUM(H70:K70)=0,"",J70/SUM(H70:K70))</f>
        <v/>
      </c>
      <c r="S70" s="7">
        <f>IF(SUM(H70:K70)=0,"",K70/SUM(H70:K70))</f>
        <v/>
      </c>
      <c r="T70" s="7">
        <f>IF(SUM(L70:O70)=0,"",L70/SUM(L70:O70))</f>
        <v/>
      </c>
      <c r="U70" s="7">
        <f>IF(SUM(L70:O70)=0,"",M70/SUM(L70:O70))</f>
        <v/>
      </c>
      <c r="V70" s="7">
        <f>IF(SUM(L70:O70)=0,"",N70/SUM(L70:O70))</f>
        <v/>
      </c>
      <c r="W70" s="7">
        <f>IF(SUM(L70:O70)=0,"",O70/SUM(L70:O70))</f>
        <v/>
      </c>
    </row>
    <row r="71">
      <c r="A71" t="n">
        <v>101</v>
      </c>
      <c r="B71" t="inlineStr">
        <is>
          <t>-  To be recognized as a valued stakeholder in the future of North East -    T o be a trusted custodian of resources to fulfill the philanthropic intent of [community_foundation_tag] donors -  To create transformational grants in support of [community_foundation_tag] non-profits -    T o actively promote community leadership, civic awareness and public engagement</t>
        </is>
      </c>
      <c r="C71" t="n">
        <v>1</v>
      </c>
      <c r="D71" t="n">
        <v>3</v>
      </c>
      <c r="E71" t="n">
        <v>0</v>
      </c>
      <c r="F71" t="n">
        <v>0</v>
      </c>
      <c r="G71" t="b">
        <v>1</v>
      </c>
      <c r="H71" t="n">
        <v>0</v>
      </c>
      <c r="I71" t="n">
        <v>1</v>
      </c>
      <c r="J71" t="n">
        <v>2</v>
      </c>
      <c r="K71" t="n">
        <v>0</v>
      </c>
      <c r="L71" t="n">
        <v>2</v>
      </c>
      <c r="M71" t="n">
        <v>3</v>
      </c>
      <c r="N71" t="n">
        <v>4</v>
      </c>
      <c r="O71" t="n">
        <v>0</v>
      </c>
      <c r="P71" s="7">
        <f>IF(SUM(H71:K71)=0,"",H71/SUM(H71:K71))</f>
        <v/>
      </c>
      <c r="Q71" s="7">
        <f>IF(SUM(H71:K71)=0,"",I71/SUM(H71:K71))</f>
        <v/>
      </c>
      <c r="R71" s="7">
        <f>IF(SUM(H71:K71)=0,"",J71/SUM(H71:K71))</f>
        <v/>
      </c>
      <c r="S71" s="7">
        <f>IF(SUM(H71:K71)=0,"",K71/SUM(H71:K71))</f>
        <v/>
      </c>
      <c r="T71" s="7">
        <f>IF(SUM(L71:O71)=0,"",L71/SUM(L71:O71))</f>
        <v/>
      </c>
      <c r="U71" s="7">
        <f>IF(SUM(L71:O71)=0,"",M71/SUM(L71:O71))</f>
        <v/>
      </c>
      <c r="V71" s="7">
        <f>IF(SUM(L71:O71)=0,"",N71/SUM(L71:O71))</f>
        <v/>
      </c>
      <c r="W71" s="7">
        <f>IF(SUM(L71:O71)=0,"",O71/SUM(L71:O71))</f>
        <v/>
      </c>
    </row>
    <row r="72">
      <c r="A72" t="n">
        <v>102</v>
      </c>
      <c r="B72" t="inlineStr">
        <is>
          <t>Please don't hesitate to reach out to the members of [community_foundation_tag] board with questions you have about [community_foundation_tag] new strategic direction, [community_foundation_tag] or how you can join in [community_foundation_tag] efforts.</t>
        </is>
      </c>
      <c r="C72" t="n">
        <v>0</v>
      </c>
      <c r="D72" t="n">
        <v>1</v>
      </c>
      <c r="E72" t="n">
        <v>0</v>
      </c>
      <c r="F72" t="n">
        <v>0</v>
      </c>
      <c r="G72" t="b">
        <v>0</v>
      </c>
      <c r="H72" t="n">
        <v>0</v>
      </c>
      <c r="I72" t="n">
        <v>0</v>
      </c>
      <c r="J72" t="n">
        <v>0</v>
      </c>
      <c r="K72" t="n">
        <v>0</v>
      </c>
      <c r="L72" t="n">
        <v>1</v>
      </c>
      <c r="M72" t="n">
        <v>0</v>
      </c>
      <c r="N72" t="n">
        <v>2</v>
      </c>
      <c r="O72" t="n">
        <v>0</v>
      </c>
      <c r="P72" s="7">
        <f>IF(SUM(H72:K72)=0,"",H72/SUM(H72:K72))</f>
        <v/>
      </c>
      <c r="Q72" s="7">
        <f>IF(SUM(H72:K72)=0,"",I72/SUM(H72:K72))</f>
        <v/>
      </c>
      <c r="R72" s="7">
        <f>IF(SUM(H72:K72)=0,"",J72/SUM(H72:K72))</f>
        <v/>
      </c>
      <c r="S72" s="7">
        <f>IF(SUM(H72:K72)=0,"",K72/SUM(H72:K72))</f>
        <v/>
      </c>
      <c r="T72" s="7">
        <f>IF(SUM(L72:O72)=0,"",L72/SUM(L72:O72))</f>
        <v/>
      </c>
      <c r="U72" s="7">
        <f>IF(SUM(L72:O72)=0,"",M72/SUM(L72:O72))</f>
        <v/>
      </c>
      <c r="V72" s="7">
        <f>IF(SUM(L72:O72)=0,"",N72/SUM(L72:O72))</f>
        <v/>
      </c>
      <c r="W72" s="7">
        <f>IF(SUM(L72:O72)=0,"",O72/SUM(L72:O72))</f>
        <v/>
      </c>
    </row>
    <row r="73">
      <c r="A73" t="n">
        <v>103</v>
      </c>
      <c r="B73" t="inlineStr">
        <is>
          <t>It is an honor to partner with donors and the community to make North East better for [community_foundation_tag] residents today - and well into the future.</t>
        </is>
      </c>
      <c r="C73" t="n">
        <v>1</v>
      </c>
      <c r="D73" t="n">
        <v>3</v>
      </c>
      <c r="E73" t="n">
        <v>0</v>
      </c>
      <c r="F73" t="n">
        <v>0</v>
      </c>
      <c r="G73" t="b">
        <v>1</v>
      </c>
      <c r="H73" t="n">
        <v>0</v>
      </c>
      <c r="I73" t="n">
        <v>0</v>
      </c>
      <c r="J73" t="n">
        <v>2</v>
      </c>
      <c r="K73" t="n">
        <v>0</v>
      </c>
      <c r="L73" t="n">
        <v>6</v>
      </c>
      <c r="M73" t="n">
        <v>1</v>
      </c>
      <c r="N73" t="n">
        <v>2</v>
      </c>
      <c r="O73" t="n">
        <v>0</v>
      </c>
      <c r="P73" s="7">
        <f>IF(SUM(H73:K73)=0,"",H73/SUM(H73:K73))</f>
        <v/>
      </c>
      <c r="Q73" s="7">
        <f>IF(SUM(H73:K73)=0,"",I73/SUM(H73:K73))</f>
        <v/>
      </c>
      <c r="R73" s="7">
        <f>IF(SUM(H73:K73)=0,"",J73/SUM(H73:K73))</f>
        <v/>
      </c>
      <c r="S73" s="7">
        <f>IF(SUM(H73:K73)=0,"",K73/SUM(H73:K73))</f>
        <v/>
      </c>
      <c r="T73" s="7">
        <f>IF(SUM(L73:O73)=0,"",L73/SUM(L73:O73))</f>
        <v/>
      </c>
      <c r="U73" s="7">
        <f>IF(SUM(L73:O73)=0,"",M73/SUM(L73:O73))</f>
        <v/>
      </c>
      <c r="V73" s="7">
        <f>IF(SUM(L73:O73)=0,"",N73/SUM(L73:O73))</f>
        <v/>
      </c>
      <c r="W73" s="7">
        <f>IF(SUM(L73:O73)=0,"",O73/SUM(L73:O73))</f>
        <v/>
      </c>
    </row>
    <row r="74">
      <c r="A74" t="n">
        <v>108</v>
      </c>
      <c r="B74" t="inlineStr">
        <is>
          <t>Vice Chairman</t>
        </is>
      </c>
      <c r="C74" t="n">
        <v>0</v>
      </c>
      <c r="D74" t="n">
        <v>1</v>
      </c>
      <c r="E74" t="n">
        <v>0</v>
      </c>
      <c r="F74" t="n">
        <v>0</v>
      </c>
      <c r="G74" t="b">
        <v>0</v>
      </c>
      <c r="H74" t="n">
        <v>0</v>
      </c>
      <c r="I74" t="n">
        <v>0</v>
      </c>
      <c r="J74" t="n">
        <v>0</v>
      </c>
      <c r="K74" t="n">
        <v>0</v>
      </c>
      <c r="L74" t="n">
        <v>2</v>
      </c>
      <c r="M74" t="n">
        <v>0</v>
      </c>
      <c r="N74" t="n">
        <v>1</v>
      </c>
      <c r="O74" t="n">
        <v>0</v>
      </c>
      <c r="P74" s="7">
        <f>IF(SUM(H74:K74)=0,"",H74/SUM(H74:K74))</f>
        <v/>
      </c>
      <c r="Q74" s="7">
        <f>IF(SUM(H74:K74)=0,"",I74/SUM(H74:K74))</f>
        <v/>
      </c>
      <c r="R74" s="7">
        <f>IF(SUM(H74:K74)=0,"",J74/SUM(H74:K74))</f>
        <v/>
      </c>
      <c r="S74" s="7">
        <f>IF(SUM(H74:K74)=0,"",K74/SUM(H74:K74))</f>
        <v/>
      </c>
      <c r="T74" s="7">
        <f>IF(SUM(L74:O74)=0,"",L74/SUM(L74:O74))</f>
        <v/>
      </c>
      <c r="U74" s="7">
        <f>IF(SUM(L74:O74)=0,"",M74/SUM(L74:O74))</f>
        <v/>
      </c>
      <c r="V74" s="7">
        <f>IF(SUM(L74:O74)=0,"",N74/SUM(L74:O74))</f>
        <v/>
      </c>
      <c r="W74" s="7">
        <f>IF(SUM(L74:O74)=0,"",O74/SUM(L74:O74))</f>
        <v/>
      </c>
    </row>
    <row r="75">
      <c r="A75" t="n">
        <v>110</v>
      </c>
      <c r="B75" t="inlineStr">
        <is>
          <t>Esq., Treasurer</t>
        </is>
      </c>
      <c r="C75" t="n">
        <v>0</v>
      </c>
      <c r="D75" t="n">
        <v>1</v>
      </c>
      <c r="E75" t="n">
        <v>0</v>
      </c>
      <c r="F75" t="n">
        <v>0</v>
      </c>
      <c r="G75" t="b">
        <v>0</v>
      </c>
      <c r="H75" t="n">
        <v>0</v>
      </c>
      <c r="I75" t="n">
        <v>0</v>
      </c>
      <c r="J75" t="n">
        <v>0</v>
      </c>
      <c r="K75" t="n">
        <v>0</v>
      </c>
      <c r="L75" t="n">
        <v>2</v>
      </c>
      <c r="M75" t="n">
        <v>0</v>
      </c>
      <c r="N75" t="n">
        <v>1</v>
      </c>
      <c r="O75" t="n">
        <v>0</v>
      </c>
      <c r="P75" s="7">
        <f>IF(SUM(H75:K75)=0,"",H75/SUM(H75:K75))</f>
        <v/>
      </c>
      <c r="Q75" s="7">
        <f>IF(SUM(H75:K75)=0,"",I75/SUM(H75:K75))</f>
        <v/>
      </c>
      <c r="R75" s="7">
        <f>IF(SUM(H75:K75)=0,"",J75/SUM(H75:K75))</f>
        <v/>
      </c>
      <c r="S75" s="7">
        <f>IF(SUM(H75:K75)=0,"",K75/SUM(H75:K75))</f>
        <v/>
      </c>
      <c r="T75" s="7">
        <f>IF(SUM(L75:O75)=0,"",L75/SUM(L75:O75))</f>
        <v/>
      </c>
      <c r="U75" s="7">
        <f>IF(SUM(L75:O75)=0,"",M75/SUM(L75:O75))</f>
        <v/>
      </c>
      <c r="V75" s="7">
        <f>IF(SUM(L75:O75)=0,"",N75/SUM(L75:O75))</f>
        <v/>
      </c>
      <c r="W75" s="7">
        <f>IF(SUM(L75:O75)=0,"",O75/SUM(L75:O75))</f>
        <v/>
      </c>
    </row>
    <row r="76">
      <c r="A76" t="n">
        <v>114</v>
      </c>
      <c r="B76" t="inlineStr">
        <is>
          <t>Executive Asst .</t>
        </is>
      </c>
      <c r="C76" t="n">
        <v>0</v>
      </c>
      <c r="D76" t="n">
        <v>0</v>
      </c>
      <c r="E76" t="n">
        <v>0</v>
      </c>
      <c r="F76" t="n">
        <v>0</v>
      </c>
      <c r="G76" t="b">
        <v>0</v>
      </c>
      <c r="H76" t="n">
        <v>0</v>
      </c>
      <c r="I76" t="n">
        <v>0</v>
      </c>
      <c r="J76" t="n">
        <v>0</v>
      </c>
      <c r="K76" t="n">
        <v>0</v>
      </c>
      <c r="L76" t="n">
        <v>0</v>
      </c>
      <c r="M76" t="n">
        <v>0</v>
      </c>
      <c r="N76" t="n">
        <v>0</v>
      </c>
      <c r="O76" t="n">
        <v>0</v>
      </c>
      <c r="P76" s="7">
        <f>IF(SUM(H76:K76)=0,"",H76/SUM(H76:K76))</f>
        <v/>
      </c>
      <c r="Q76" s="7">
        <f>IF(SUM(H76:K76)=0,"",I76/SUM(H76:K76))</f>
        <v/>
      </c>
      <c r="R76" s="7">
        <f>IF(SUM(H76:K76)=0,"",J76/SUM(H76:K76))</f>
        <v/>
      </c>
      <c r="S76" s="7">
        <f>IF(SUM(H76:K76)=0,"",K76/SUM(H76:K76))</f>
        <v/>
      </c>
      <c r="T76" s="7">
        <f>IF(SUM(L76:O76)=0,"",L76/SUM(L76:O76))</f>
        <v/>
      </c>
      <c r="U76" s="7">
        <f>IF(SUM(L76:O76)=0,"",M76/SUM(L76:O76))</f>
        <v/>
      </c>
      <c r="V76" s="7">
        <f>IF(SUM(L76:O76)=0,"",N76/SUM(L76:O76))</f>
        <v/>
      </c>
      <c r="W76" s="7">
        <f>IF(SUM(L76:O76)=0,"",O76/SUM(L76:O76))</f>
        <v/>
      </c>
    </row>
    <row r="77">
      <c r="A77" t="n">
        <v>117</v>
      </c>
      <c r="B77" t="inlineStr">
        <is>
          <t>[community_foundation_tag] now have the funds to make meaningful and transformational change.</t>
        </is>
      </c>
      <c r="C77" t="n">
        <v>1</v>
      </c>
      <c r="D77" t="n">
        <v>1</v>
      </c>
      <c r="E77" t="n">
        <v>0</v>
      </c>
      <c r="F77" t="n">
        <v>0</v>
      </c>
      <c r="G77" t="b">
        <v>1</v>
      </c>
      <c r="H77" t="n">
        <v>0</v>
      </c>
      <c r="I77" t="n">
        <v>0</v>
      </c>
      <c r="J77" t="n">
        <v>2</v>
      </c>
      <c r="K77" t="n">
        <v>0</v>
      </c>
      <c r="L77" t="n">
        <v>1</v>
      </c>
      <c r="M77" t="n">
        <v>0</v>
      </c>
      <c r="N77" t="n">
        <v>2</v>
      </c>
      <c r="O77" t="n">
        <v>0</v>
      </c>
      <c r="P77" s="7">
        <f>IF(SUM(H77:K77)=0,"",H77/SUM(H77:K77))</f>
        <v/>
      </c>
      <c r="Q77" s="7">
        <f>IF(SUM(H77:K77)=0,"",I77/SUM(H77:K77))</f>
        <v/>
      </c>
      <c r="R77" s="7">
        <f>IF(SUM(H77:K77)=0,"",J77/SUM(H77:K77))</f>
        <v/>
      </c>
      <c r="S77" s="7">
        <f>IF(SUM(H77:K77)=0,"",K77/SUM(H77:K77))</f>
        <v/>
      </c>
      <c r="T77" s="7">
        <f>IF(SUM(L77:O77)=0,"",L77/SUM(L77:O77))</f>
        <v/>
      </c>
      <c r="U77" s="7">
        <f>IF(SUM(L77:O77)=0,"",M77/SUM(L77:O77))</f>
        <v/>
      </c>
      <c r="V77" s="7">
        <f>IF(SUM(L77:O77)=0,"",N77/SUM(L77:O77))</f>
        <v/>
      </c>
      <c r="W77" s="7">
        <f>IF(SUM(L77:O77)=0,"",O77/SUM(L77:O77))</f>
        <v/>
      </c>
    </row>
    <row r="78">
      <c r="A78" t="n">
        <v>119</v>
      </c>
      <c r="B78" t="inlineStr">
        <is>
          <t>In 2021, with the help of [community_foundation_tag] donors, [community_foundation_tag] was able to grant nearly $285,000 including:</t>
        </is>
      </c>
      <c r="C78" t="n">
        <v>0</v>
      </c>
      <c r="D78" t="n">
        <v>3</v>
      </c>
      <c r="E78" t="n">
        <v>0</v>
      </c>
      <c r="F78" t="n">
        <v>0</v>
      </c>
      <c r="G78" t="b">
        <v>0</v>
      </c>
      <c r="H78" t="n">
        <v>0</v>
      </c>
      <c r="I78" t="n">
        <v>0</v>
      </c>
      <c r="J78" t="n">
        <v>0</v>
      </c>
      <c r="K78" t="n">
        <v>0</v>
      </c>
      <c r="L78" t="n">
        <v>6</v>
      </c>
      <c r="M78" t="n">
        <v>3</v>
      </c>
      <c r="N78" t="n">
        <v>0</v>
      </c>
      <c r="O78" t="n">
        <v>0</v>
      </c>
      <c r="P78" s="7">
        <f>IF(SUM(H78:K78)=0,"",H78/SUM(H78:K78))</f>
        <v/>
      </c>
      <c r="Q78" s="7">
        <f>IF(SUM(H78:K78)=0,"",I78/SUM(H78:K78))</f>
        <v/>
      </c>
      <c r="R78" s="7">
        <f>IF(SUM(H78:K78)=0,"",J78/SUM(H78:K78))</f>
        <v/>
      </c>
      <c r="S78" s="7">
        <f>IF(SUM(H78:K78)=0,"",K78/SUM(H78:K78))</f>
        <v/>
      </c>
      <c r="T78" s="7">
        <f>IF(SUM(L78:O78)=0,"",L78/SUM(L78:O78))</f>
        <v/>
      </c>
      <c r="U78" s="7">
        <f>IF(SUM(L78:O78)=0,"",M78/SUM(L78:O78))</f>
        <v/>
      </c>
      <c r="V78" s="7">
        <f>IF(SUM(L78:O78)=0,"",N78/SUM(L78:O78))</f>
        <v/>
      </c>
      <c r="W78" s="7">
        <f>IF(SUM(L78:O78)=0,"",O78/SUM(L78:O78))</f>
        <v/>
      </c>
    </row>
    <row r="79">
      <c r="A79" t="n">
        <v>120</v>
      </c>
      <c r="B79" t="inlineStr">
        <is>
          <t>More than $78,000 to education</t>
        </is>
      </c>
      <c r="C79" t="n">
        <v>0</v>
      </c>
      <c r="D79" t="n">
        <v>2</v>
      </c>
      <c r="E79" t="n">
        <v>0</v>
      </c>
      <c r="F79" t="n">
        <v>0</v>
      </c>
      <c r="G79" t="b">
        <v>0</v>
      </c>
      <c r="H79" t="n">
        <v>0</v>
      </c>
      <c r="I79" t="n">
        <v>0</v>
      </c>
      <c r="J79" t="n">
        <v>0</v>
      </c>
      <c r="K79" t="n">
        <v>0</v>
      </c>
      <c r="L79" t="n">
        <v>4</v>
      </c>
      <c r="M79" t="n">
        <v>1</v>
      </c>
      <c r="N79" t="n">
        <v>1</v>
      </c>
      <c r="O79" t="n">
        <v>0</v>
      </c>
      <c r="P79" s="7">
        <f>IF(SUM(H79:K79)=0,"",H79/SUM(H79:K79))</f>
        <v/>
      </c>
      <c r="Q79" s="7">
        <f>IF(SUM(H79:K79)=0,"",I79/SUM(H79:K79))</f>
        <v/>
      </c>
      <c r="R79" s="7">
        <f>IF(SUM(H79:K79)=0,"",J79/SUM(H79:K79))</f>
        <v/>
      </c>
      <c r="S79" s="7">
        <f>IF(SUM(H79:K79)=0,"",K79/SUM(H79:K79))</f>
        <v/>
      </c>
      <c r="T79" s="7">
        <f>IF(SUM(L79:O79)=0,"",L79/SUM(L79:O79))</f>
        <v/>
      </c>
      <c r="U79" s="7">
        <f>IF(SUM(L79:O79)=0,"",M79/SUM(L79:O79))</f>
        <v/>
      </c>
      <c r="V79" s="7">
        <f>IF(SUM(L79:O79)=0,"",N79/SUM(L79:O79))</f>
        <v/>
      </c>
      <c r="W79" s="7">
        <f>IF(SUM(L79:O79)=0,"",O79/SUM(L79:O79))</f>
        <v/>
      </c>
    </row>
    <row r="80">
      <c r="A80" t="n">
        <v>121</v>
      </c>
      <c r="B80" t="inlineStr">
        <is>
          <t>- Supporting libraries and schools, providing college scholarships and funds for summer camp experiences in the arts and nature</t>
        </is>
      </c>
      <c r="C80" t="n">
        <v>1</v>
      </c>
      <c r="D80" t="n">
        <v>2</v>
      </c>
      <c r="E80" t="n">
        <v>0</v>
      </c>
      <c r="F80" t="n">
        <v>0</v>
      </c>
      <c r="G80" t="b">
        <v>1</v>
      </c>
      <c r="H80" t="n">
        <v>0</v>
      </c>
      <c r="I80" t="n">
        <v>0</v>
      </c>
      <c r="J80" t="n">
        <v>2</v>
      </c>
      <c r="K80" t="n">
        <v>0</v>
      </c>
      <c r="L80" t="n">
        <v>4</v>
      </c>
      <c r="M80" t="n">
        <v>2</v>
      </c>
      <c r="N80" t="n">
        <v>0</v>
      </c>
      <c r="O80" t="n">
        <v>0</v>
      </c>
      <c r="P80" s="7">
        <f>IF(SUM(H80:K80)=0,"",H80/SUM(H80:K80))</f>
        <v/>
      </c>
      <c r="Q80" s="7">
        <f>IF(SUM(H80:K80)=0,"",I80/SUM(H80:K80))</f>
        <v/>
      </c>
      <c r="R80" s="7">
        <f>IF(SUM(H80:K80)=0,"",J80/SUM(H80:K80))</f>
        <v/>
      </c>
      <c r="S80" s="7">
        <f>IF(SUM(H80:K80)=0,"",K80/SUM(H80:K80))</f>
        <v/>
      </c>
      <c r="T80" s="7">
        <f>IF(SUM(L80:O80)=0,"",L80/SUM(L80:O80))</f>
        <v/>
      </c>
      <c r="U80" s="7">
        <f>IF(SUM(L80:O80)=0,"",M80/SUM(L80:O80))</f>
        <v/>
      </c>
      <c r="V80" s="7">
        <f>IF(SUM(L80:O80)=0,"",N80/SUM(L80:O80))</f>
        <v/>
      </c>
      <c r="W80" s="7">
        <f>IF(SUM(L80:O80)=0,"",O80/SUM(L80:O80))</f>
        <v/>
      </c>
    </row>
    <row r="81">
      <c r="A81" t="n">
        <v>122</v>
      </c>
      <c r="B81" t="inlineStr">
        <is>
          <t>More than $92,000 to basic health and safety needs</t>
        </is>
      </c>
      <c r="C81" t="n">
        <v>1</v>
      </c>
      <c r="D81" t="n">
        <v>2</v>
      </c>
      <c r="E81" t="n">
        <v>0</v>
      </c>
      <c r="F81" t="n">
        <v>0</v>
      </c>
      <c r="G81" t="b">
        <v>1</v>
      </c>
      <c r="H81" t="n">
        <v>2</v>
      </c>
      <c r="I81" t="n">
        <v>0</v>
      </c>
      <c r="J81" t="n">
        <v>0</v>
      </c>
      <c r="K81" t="n">
        <v>0</v>
      </c>
      <c r="L81" t="n">
        <v>4</v>
      </c>
      <c r="M81" t="n">
        <v>0</v>
      </c>
      <c r="N81" t="n">
        <v>0</v>
      </c>
      <c r="O81" t="n">
        <v>2</v>
      </c>
      <c r="P81" s="7">
        <f>IF(SUM(H81:K81)=0,"",H81/SUM(H81:K81))</f>
        <v/>
      </c>
      <c r="Q81" s="7">
        <f>IF(SUM(H81:K81)=0,"",I81/SUM(H81:K81))</f>
        <v/>
      </c>
      <c r="R81" s="7">
        <f>IF(SUM(H81:K81)=0,"",J81/SUM(H81:K81))</f>
        <v/>
      </c>
      <c r="S81" s="7">
        <f>IF(SUM(H81:K81)=0,"",K81/SUM(H81:K81))</f>
        <v/>
      </c>
      <c r="T81" s="7">
        <f>IF(SUM(L81:O81)=0,"",L81/SUM(L81:O81))</f>
        <v/>
      </c>
      <c r="U81" s="7">
        <f>IF(SUM(L81:O81)=0,"",M81/SUM(L81:O81))</f>
        <v/>
      </c>
      <c r="V81" s="7">
        <f>IF(SUM(L81:O81)=0,"",N81/SUM(L81:O81))</f>
        <v/>
      </c>
      <c r="W81" s="7">
        <f>IF(SUM(L81:O81)=0,"",O81/SUM(L81:O81))</f>
        <v/>
      </c>
    </row>
    <row r="82">
      <c r="A82" t="n">
        <v>123</v>
      </c>
      <c r="B82" t="inlineStr">
        <is>
          <t>- Firefighters and first responders, nursing and hospice care, food, clothing and other essentials.</t>
        </is>
      </c>
      <c r="C82" t="n">
        <v>1</v>
      </c>
      <c r="D82" t="n">
        <v>2</v>
      </c>
      <c r="E82" t="n">
        <v>0</v>
      </c>
      <c r="F82" t="n">
        <v>0</v>
      </c>
      <c r="G82" t="b">
        <v>1</v>
      </c>
      <c r="H82" t="n">
        <v>2</v>
      </c>
      <c r="I82" t="n">
        <v>0</v>
      </c>
      <c r="J82" t="n">
        <v>1</v>
      </c>
      <c r="K82" t="n">
        <v>0</v>
      </c>
      <c r="L82" t="n">
        <v>4</v>
      </c>
      <c r="M82" t="n">
        <v>0</v>
      </c>
      <c r="N82" t="n">
        <v>0</v>
      </c>
      <c r="O82" t="n">
        <v>2</v>
      </c>
      <c r="P82" s="7">
        <f>IF(SUM(H82:K82)=0,"",H82/SUM(H82:K82))</f>
        <v/>
      </c>
      <c r="Q82" s="7">
        <f>IF(SUM(H82:K82)=0,"",I82/SUM(H82:K82))</f>
        <v/>
      </c>
      <c r="R82" s="7">
        <f>IF(SUM(H82:K82)=0,"",J82/SUM(H82:K82))</f>
        <v/>
      </c>
      <c r="S82" s="7">
        <f>IF(SUM(H82:K82)=0,"",K82/SUM(H82:K82))</f>
        <v/>
      </c>
      <c r="T82" s="7">
        <f>IF(SUM(L82:O82)=0,"",L82/SUM(L82:O82))</f>
        <v/>
      </c>
      <c r="U82" s="7">
        <f>IF(SUM(L82:O82)=0,"",M82/SUM(L82:O82))</f>
        <v/>
      </c>
      <c r="V82" s="7">
        <f>IF(SUM(L82:O82)=0,"",N82/SUM(L82:O82))</f>
        <v/>
      </c>
      <c r="W82" s="7">
        <f>IF(SUM(L82:O82)=0,"",O82/SUM(L82:O82))</f>
        <v/>
      </c>
    </row>
    <row r="83">
      <c r="A83" t="n">
        <v>124</v>
      </c>
      <c r="B83" t="inlineStr">
        <is>
          <t>In 2021, a new need was addressed:  to meet basic food and hygiene needs of students in the North East School District by partnering with the school and Second Harvest Food Bank to offer backpacks to bridge the gap when kids get hungry over the weekend.</t>
        </is>
      </c>
      <c r="C83" t="n">
        <v>1</v>
      </c>
      <c r="D83" t="n">
        <v>2</v>
      </c>
      <c r="E83" t="n">
        <v>0</v>
      </c>
      <c r="F83" t="n">
        <v>0</v>
      </c>
      <c r="G83" t="b">
        <v>1</v>
      </c>
      <c r="H83" t="n">
        <v>1</v>
      </c>
      <c r="I83" t="n">
        <v>0</v>
      </c>
      <c r="J83" t="n">
        <v>2</v>
      </c>
      <c r="K83" t="n">
        <v>0</v>
      </c>
      <c r="L83" t="n">
        <v>0</v>
      </c>
      <c r="M83" t="n">
        <v>0</v>
      </c>
      <c r="N83" t="n">
        <v>3</v>
      </c>
      <c r="O83" t="n">
        <v>3</v>
      </c>
      <c r="P83" s="7">
        <f>IF(SUM(H83:K83)=0,"",H83/SUM(H83:K83))</f>
        <v/>
      </c>
      <c r="Q83" s="7">
        <f>IF(SUM(H83:K83)=0,"",I83/SUM(H83:K83))</f>
        <v/>
      </c>
      <c r="R83" s="7">
        <f>IF(SUM(H83:K83)=0,"",J83/SUM(H83:K83))</f>
        <v/>
      </c>
      <c r="S83" s="7">
        <f>IF(SUM(H83:K83)=0,"",K83/SUM(H83:K83))</f>
        <v/>
      </c>
      <c r="T83" s="7">
        <f>IF(SUM(L83:O83)=0,"",L83/SUM(L83:O83))</f>
        <v/>
      </c>
      <c r="U83" s="7">
        <f>IF(SUM(L83:O83)=0,"",M83/SUM(L83:O83))</f>
        <v/>
      </c>
      <c r="V83" s="7">
        <f>IF(SUM(L83:O83)=0,"",N83/SUM(L83:O83))</f>
        <v/>
      </c>
      <c r="W83" s="7">
        <f>IF(SUM(L83:O83)=0,"",O83/SUM(L83:O83))</f>
        <v/>
      </c>
    </row>
    <row r="84">
      <c r="A84" t="n">
        <v>125</v>
      </c>
      <c r="B84" t="inlineStr">
        <is>
          <t>Another partnership with Project Love Inc. provided basic hygiene supplies.</t>
        </is>
      </c>
      <c r="C84" t="n">
        <v>1</v>
      </c>
      <c r="D84" t="n">
        <v>2</v>
      </c>
      <c r="E84" t="n">
        <v>0</v>
      </c>
      <c r="F84" t="n">
        <v>0</v>
      </c>
      <c r="G84" t="b">
        <v>1</v>
      </c>
      <c r="H84" t="n">
        <v>1</v>
      </c>
      <c r="I84" t="n">
        <v>0</v>
      </c>
      <c r="J84" t="n">
        <v>2</v>
      </c>
      <c r="K84" t="n">
        <v>0</v>
      </c>
      <c r="L84" t="n">
        <v>2</v>
      </c>
      <c r="M84" t="n">
        <v>0</v>
      </c>
      <c r="N84" t="n">
        <v>4</v>
      </c>
      <c r="O84" t="n">
        <v>0</v>
      </c>
      <c r="P84" s="7">
        <f>IF(SUM(H84:K84)=0,"",H84/SUM(H84:K84))</f>
        <v/>
      </c>
      <c r="Q84" s="7">
        <f>IF(SUM(H84:K84)=0,"",I84/SUM(H84:K84))</f>
        <v/>
      </c>
      <c r="R84" s="7">
        <f>IF(SUM(H84:K84)=0,"",J84/SUM(H84:K84))</f>
        <v/>
      </c>
      <c r="S84" s="7">
        <f>IF(SUM(H84:K84)=0,"",K84/SUM(H84:K84))</f>
        <v/>
      </c>
      <c r="T84" s="7">
        <f>IF(SUM(L84:O84)=0,"",L84/SUM(L84:O84))</f>
        <v/>
      </c>
      <c r="U84" s="7">
        <f>IF(SUM(L84:O84)=0,"",M84/SUM(L84:O84))</f>
        <v/>
      </c>
      <c r="V84" s="7">
        <f>IF(SUM(L84:O84)=0,"",N84/SUM(L84:O84))</f>
        <v/>
      </c>
      <c r="W84" s="7">
        <f>IF(SUM(L84:O84)=0,"",O84/SUM(L84:O84))</f>
        <v/>
      </c>
    </row>
    <row r="85">
      <c r="A85" t="n">
        <v>126</v>
      </c>
      <c r="B85" t="inlineStr">
        <is>
          <t>More than $70,000 to enrich [community_foundation_tag] community and preserve [community_foundation_tag] unique history and downtown</t>
        </is>
      </c>
      <c r="C85" t="n">
        <v>1</v>
      </c>
      <c r="D85" t="n">
        <v>3</v>
      </c>
      <c r="E85" t="n">
        <v>0</v>
      </c>
      <c r="F85" t="n">
        <v>0</v>
      </c>
      <c r="G85" t="b">
        <v>1</v>
      </c>
      <c r="H85" t="n">
        <v>2</v>
      </c>
      <c r="I85" t="n">
        <v>0</v>
      </c>
      <c r="J85" t="n">
        <v>1</v>
      </c>
      <c r="K85" t="n">
        <v>0</v>
      </c>
      <c r="L85" t="n">
        <v>6</v>
      </c>
      <c r="M85" t="n">
        <v>0</v>
      </c>
      <c r="N85" t="n">
        <v>3</v>
      </c>
      <c r="O85" t="n">
        <v>0</v>
      </c>
      <c r="P85" s="7">
        <f>IF(SUM(H85:K85)=0,"",H85/SUM(H85:K85))</f>
        <v/>
      </c>
      <c r="Q85" s="7">
        <f>IF(SUM(H85:K85)=0,"",I85/SUM(H85:K85))</f>
        <v/>
      </c>
      <c r="R85" s="7">
        <f>IF(SUM(H85:K85)=0,"",J85/SUM(H85:K85))</f>
        <v/>
      </c>
      <c r="S85" s="7">
        <f>IF(SUM(H85:K85)=0,"",K85/SUM(H85:K85))</f>
        <v/>
      </c>
      <c r="T85" s="7">
        <f>IF(SUM(L85:O85)=0,"",L85/SUM(L85:O85))</f>
        <v/>
      </c>
      <c r="U85" s="7">
        <f>IF(SUM(L85:O85)=0,"",M85/SUM(L85:O85))</f>
        <v/>
      </c>
      <c r="V85" s="7">
        <f>IF(SUM(L85:O85)=0,"",N85/SUM(L85:O85))</f>
        <v/>
      </c>
      <c r="W85" s="7">
        <f>IF(SUM(L85:O85)=0,"",O85/SUM(L85:O85))</f>
        <v/>
      </c>
    </row>
    <row r="86">
      <c r="A86" t="n">
        <v>127</v>
      </c>
      <c r="B86" t="inlineStr">
        <is>
          <t>- Offering arts and culture, and family fun through free outdoor concerts by the Erie Philharmonic in Gibson Park, entertainment for Picnic in the Park and the Saturday Open Market, July 4 fireworks and an expanded annual holiday light up celebration.</t>
        </is>
      </c>
      <c r="C86" t="n">
        <v>1</v>
      </c>
      <c r="D86" t="n">
        <v>3</v>
      </c>
      <c r="E86" t="n">
        <v>0</v>
      </c>
      <c r="F86" t="n">
        <v>0</v>
      </c>
      <c r="G86" t="b">
        <v>1</v>
      </c>
      <c r="H86" t="n">
        <v>0</v>
      </c>
      <c r="I86" t="n">
        <v>0</v>
      </c>
      <c r="J86" t="n">
        <v>2</v>
      </c>
      <c r="K86" t="n">
        <v>0</v>
      </c>
      <c r="L86" t="n">
        <v>6</v>
      </c>
      <c r="M86" t="n">
        <v>0</v>
      </c>
      <c r="N86" t="n">
        <v>3</v>
      </c>
      <c r="O86" t="n">
        <v>0</v>
      </c>
      <c r="P86" s="7">
        <f>IF(SUM(H86:K86)=0,"",H86/SUM(H86:K86))</f>
        <v/>
      </c>
      <c r="Q86" s="7">
        <f>IF(SUM(H86:K86)=0,"",I86/SUM(H86:K86))</f>
        <v/>
      </c>
      <c r="R86" s="7">
        <f>IF(SUM(H86:K86)=0,"",J86/SUM(H86:K86))</f>
        <v/>
      </c>
      <c r="S86" s="7">
        <f>IF(SUM(H86:K86)=0,"",K86/SUM(H86:K86))</f>
        <v/>
      </c>
      <c r="T86" s="7">
        <f>IF(SUM(L86:O86)=0,"",L86/SUM(L86:O86))</f>
        <v/>
      </c>
      <c r="U86" s="7">
        <f>IF(SUM(L86:O86)=0,"",M86/SUM(L86:O86))</f>
        <v/>
      </c>
      <c r="V86" s="7">
        <f>IF(SUM(L86:O86)=0,"",N86/SUM(L86:O86))</f>
        <v/>
      </c>
      <c r="W86" s="7">
        <f>IF(SUM(L86:O86)=0,"",O86/SUM(L86:O86))</f>
        <v/>
      </c>
    </row>
    <row r="87">
      <c r="A87" t="n">
        <v>128</v>
      </c>
      <c r="B87" t="inlineStr">
        <is>
          <t>Funds provided to North East in Bloom brought new planters and flowers to beautify downtown, along with a new mural.</t>
        </is>
      </c>
      <c r="C87" t="n">
        <v>1</v>
      </c>
      <c r="D87" t="n">
        <v>2</v>
      </c>
      <c r="E87" t="n">
        <v>0</v>
      </c>
      <c r="F87" t="n">
        <v>0</v>
      </c>
      <c r="G87" t="b">
        <v>1</v>
      </c>
      <c r="H87" t="n">
        <v>0</v>
      </c>
      <c r="I87" t="n">
        <v>0</v>
      </c>
      <c r="J87" t="n">
        <v>2</v>
      </c>
      <c r="K87" t="n">
        <v>0</v>
      </c>
      <c r="L87" t="n">
        <v>4</v>
      </c>
      <c r="M87" t="n">
        <v>0</v>
      </c>
      <c r="N87" t="n">
        <v>2</v>
      </c>
      <c r="O87" t="n">
        <v>0</v>
      </c>
      <c r="P87" s="7">
        <f>IF(SUM(H87:K87)=0,"",H87/SUM(H87:K87))</f>
        <v/>
      </c>
      <c r="Q87" s="7">
        <f>IF(SUM(H87:K87)=0,"",I87/SUM(H87:K87))</f>
        <v/>
      </c>
      <c r="R87" s="7">
        <f>IF(SUM(H87:K87)=0,"",J87/SUM(H87:K87))</f>
        <v/>
      </c>
      <c r="S87" s="7">
        <f>IF(SUM(H87:K87)=0,"",K87/SUM(H87:K87))</f>
        <v/>
      </c>
      <c r="T87" s="7">
        <f>IF(SUM(L87:O87)=0,"",L87/SUM(L87:O87))</f>
        <v/>
      </c>
      <c r="U87" s="7">
        <f>IF(SUM(L87:O87)=0,"",M87/SUM(L87:O87))</f>
        <v/>
      </c>
      <c r="V87" s="7">
        <f>IF(SUM(L87:O87)=0,"",N87/SUM(L87:O87))</f>
        <v/>
      </c>
      <c r="W87" s="7">
        <f>IF(SUM(L87:O87)=0,"",O87/SUM(L87:O87))</f>
        <v/>
      </c>
    </row>
    <row r="88">
      <c r="A88" t="n">
        <v>131</v>
      </c>
      <c r="B88" t="inlineStr">
        <is>
          <t>Improving the quality of life for North East residents can take many forms.</t>
        </is>
      </c>
      <c r="C88" t="n">
        <v>1</v>
      </c>
      <c r="D88" t="n">
        <v>2</v>
      </c>
      <c r="E88" t="n">
        <v>0</v>
      </c>
      <c r="F88" t="n">
        <v>0</v>
      </c>
      <c r="G88" t="b">
        <v>1</v>
      </c>
      <c r="H88" t="n">
        <v>2</v>
      </c>
      <c r="I88" t="n">
        <v>0</v>
      </c>
      <c r="J88" t="n">
        <v>0</v>
      </c>
      <c r="K88" t="n">
        <v>0</v>
      </c>
      <c r="L88" t="n">
        <v>4</v>
      </c>
      <c r="M88" t="n">
        <v>0</v>
      </c>
      <c r="N88" t="n">
        <v>2</v>
      </c>
      <c r="O88" t="n">
        <v>0</v>
      </c>
      <c r="P88" s="7">
        <f>IF(SUM(H88:K88)=0,"",H88/SUM(H88:K88))</f>
        <v/>
      </c>
      <c r="Q88" s="7">
        <f>IF(SUM(H88:K88)=0,"",I88/SUM(H88:K88))</f>
        <v/>
      </c>
      <c r="R88" s="7">
        <f>IF(SUM(H88:K88)=0,"",J88/SUM(H88:K88))</f>
        <v/>
      </c>
      <c r="S88" s="7">
        <f>IF(SUM(H88:K88)=0,"",K88/SUM(H88:K88))</f>
        <v/>
      </c>
      <c r="T88" s="7">
        <f>IF(SUM(L88:O88)=0,"",L88/SUM(L88:O88))</f>
        <v/>
      </c>
      <c r="U88" s="7">
        <f>IF(SUM(L88:O88)=0,"",M88/SUM(L88:O88))</f>
        <v/>
      </c>
      <c r="V88" s="7">
        <f>IF(SUM(L88:O88)=0,"",N88/SUM(L88:O88))</f>
        <v/>
      </c>
      <c r="W88" s="7">
        <f>IF(SUM(L88:O88)=0,"",O88/SUM(L88:O88))</f>
        <v/>
      </c>
    </row>
    <row r="89">
      <c r="A89" t="n">
        <v>132</v>
      </c>
      <c r="B89" t="inlineStr">
        <is>
          <t>In 2021, [community_foundation_tag] was honored to fund $284,110.16 in grants, scholarships, specified gifts and Erie Gives matches to the following:</t>
        </is>
      </c>
      <c r="C89" t="n">
        <v>0</v>
      </c>
      <c r="D89" t="n">
        <v>2</v>
      </c>
      <c r="E89" t="n">
        <v>0</v>
      </c>
      <c r="F89" t="n">
        <v>0</v>
      </c>
      <c r="G89" t="b">
        <v>0</v>
      </c>
      <c r="H89" t="n">
        <v>0</v>
      </c>
      <c r="I89" t="n">
        <v>0</v>
      </c>
      <c r="J89" t="n">
        <v>0</v>
      </c>
      <c r="K89" t="n">
        <v>0</v>
      </c>
      <c r="L89" t="n">
        <v>4</v>
      </c>
      <c r="M89" t="n">
        <v>2</v>
      </c>
      <c r="N89" t="n">
        <v>0</v>
      </c>
      <c r="O89" t="n">
        <v>0</v>
      </c>
      <c r="P89" s="7">
        <f>IF(SUM(H89:K89)=0,"",H89/SUM(H89:K89))</f>
        <v/>
      </c>
      <c r="Q89" s="7">
        <f>IF(SUM(H89:K89)=0,"",I89/SUM(H89:K89))</f>
        <v/>
      </c>
      <c r="R89" s="7">
        <f>IF(SUM(H89:K89)=0,"",J89/SUM(H89:K89))</f>
        <v/>
      </c>
      <c r="S89" s="7">
        <f>IF(SUM(H89:K89)=0,"",K89/SUM(H89:K89))</f>
        <v/>
      </c>
      <c r="T89" s="7">
        <f>IF(SUM(L89:O89)=0,"",L89/SUM(L89:O89))</f>
        <v/>
      </c>
      <c r="U89" s="7">
        <f>IF(SUM(L89:O89)=0,"",M89/SUM(L89:O89))</f>
        <v/>
      </c>
      <c r="V89" s="7">
        <f>IF(SUM(L89:O89)=0,"",N89/SUM(L89:O89))</f>
        <v/>
      </c>
      <c r="W89" s="7">
        <f>IF(SUM(L89:O89)=0,"",O89/SUM(L89:O89))</f>
        <v/>
      </c>
    </row>
    <row r="90">
      <c r="A90" t="n">
        <v>133</v>
      </c>
      <c r="B90" t="inlineStr">
        <is>
          <t>4 N.I.N.E. Place</t>
        </is>
      </c>
      <c r="C90" t="n">
        <v>0</v>
      </c>
      <c r="D90" t="n">
        <v>1</v>
      </c>
      <c r="E90" t="n">
        <v>0</v>
      </c>
      <c r="F90" t="n">
        <v>0</v>
      </c>
      <c r="G90" t="b">
        <v>0</v>
      </c>
      <c r="H90" t="n">
        <v>0</v>
      </c>
      <c r="I90" t="n">
        <v>0</v>
      </c>
      <c r="J90" t="n">
        <v>0</v>
      </c>
      <c r="K90" t="n">
        <v>0</v>
      </c>
      <c r="L90" t="n">
        <v>2</v>
      </c>
      <c r="M90" t="n">
        <v>1</v>
      </c>
      <c r="N90" t="n">
        <v>0</v>
      </c>
      <c r="O90" t="n">
        <v>0</v>
      </c>
      <c r="P90" s="7">
        <f>IF(SUM(H90:K90)=0,"",H90/SUM(H90:K90))</f>
        <v/>
      </c>
      <c r="Q90" s="7">
        <f>IF(SUM(H90:K90)=0,"",I90/SUM(H90:K90))</f>
        <v/>
      </c>
      <c r="R90" s="7">
        <f>IF(SUM(H90:K90)=0,"",J90/SUM(H90:K90))</f>
        <v/>
      </c>
      <c r="S90" s="7">
        <f>IF(SUM(H90:K90)=0,"",K90/SUM(H90:K90))</f>
        <v/>
      </c>
      <c r="T90" s="7">
        <f>IF(SUM(L90:O90)=0,"",L90/SUM(L90:O90))</f>
        <v/>
      </c>
      <c r="U90" s="7">
        <f>IF(SUM(L90:O90)=0,"",M90/SUM(L90:O90))</f>
        <v/>
      </c>
      <c r="V90" s="7">
        <f>IF(SUM(L90:O90)=0,"",N90/SUM(L90:O90))</f>
        <v/>
      </c>
      <c r="W90" s="7">
        <f>IF(SUM(L90:O90)=0,"",O90/SUM(L90:O90))</f>
        <v/>
      </c>
    </row>
    <row r="91">
      <c r="A91" t="n">
        <v>134</v>
      </c>
      <c r="B91" t="inlineStr">
        <is>
          <t>Advance North East</t>
        </is>
      </c>
      <c r="C91" t="n">
        <v>0</v>
      </c>
      <c r="D91" t="n">
        <v>1</v>
      </c>
      <c r="E91" t="n">
        <v>0</v>
      </c>
      <c r="F91" t="n">
        <v>0</v>
      </c>
      <c r="G91" t="b">
        <v>0</v>
      </c>
      <c r="H91" t="n">
        <v>0</v>
      </c>
      <c r="I91" t="n">
        <v>0</v>
      </c>
      <c r="J91" t="n">
        <v>0</v>
      </c>
      <c r="K91" t="n">
        <v>0</v>
      </c>
      <c r="L91" t="n">
        <v>2</v>
      </c>
      <c r="M91" t="n">
        <v>0</v>
      </c>
      <c r="N91" t="n">
        <v>1</v>
      </c>
      <c r="O91" t="n">
        <v>0</v>
      </c>
      <c r="P91" s="7">
        <f>IF(SUM(H91:K91)=0,"",H91/SUM(H91:K91))</f>
        <v/>
      </c>
      <c r="Q91" s="7">
        <f>IF(SUM(H91:K91)=0,"",I91/SUM(H91:K91))</f>
        <v/>
      </c>
      <c r="R91" s="7">
        <f>IF(SUM(H91:K91)=0,"",J91/SUM(H91:K91))</f>
        <v/>
      </c>
      <c r="S91" s="7">
        <f>IF(SUM(H91:K91)=0,"",K91/SUM(H91:K91))</f>
        <v/>
      </c>
      <c r="T91" s="7">
        <f>IF(SUM(L91:O91)=0,"",L91/SUM(L91:O91))</f>
        <v/>
      </c>
      <c r="U91" s="7">
        <f>IF(SUM(L91:O91)=0,"",M91/SUM(L91:O91))</f>
        <v/>
      </c>
      <c r="V91" s="7">
        <f>IF(SUM(L91:O91)=0,"",N91/SUM(L91:O91))</f>
        <v/>
      </c>
      <c r="W91" s="7">
        <f>IF(SUM(L91:O91)=0,"",O91/SUM(L91:O91))</f>
        <v/>
      </c>
    </row>
    <row r="92">
      <c r="A92" t="n">
        <v>135</v>
      </c>
      <c r="B92" t="inlineStr">
        <is>
          <t>Allegheny College</t>
        </is>
      </c>
      <c r="C92" t="n">
        <v>0</v>
      </c>
      <c r="D92" t="n">
        <v>1</v>
      </c>
      <c r="E92" t="n">
        <v>0</v>
      </c>
      <c r="F92" t="n">
        <v>0</v>
      </c>
      <c r="G92" t="b">
        <v>0</v>
      </c>
      <c r="H92" t="n">
        <v>0</v>
      </c>
      <c r="I92" t="n">
        <v>0</v>
      </c>
      <c r="J92" t="n">
        <v>0</v>
      </c>
      <c r="K92" t="n">
        <v>0</v>
      </c>
      <c r="L92" t="n">
        <v>1</v>
      </c>
      <c r="M92" t="n">
        <v>2</v>
      </c>
      <c r="N92" t="n">
        <v>0</v>
      </c>
      <c r="O92" t="n">
        <v>0</v>
      </c>
      <c r="P92" s="7">
        <f>IF(SUM(H92:K92)=0,"",H92/SUM(H92:K92))</f>
        <v/>
      </c>
      <c r="Q92" s="7">
        <f>IF(SUM(H92:K92)=0,"",I92/SUM(H92:K92))</f>
        <v/>
      </c>
      <c r="R92" s="7">
        <f>IF(SUM(H92:K92)=0,"",J92/SUM(H92:K92))</f>
        <v/>
      </c>
      <c r="S92" s="7">
        <f>IF(SUM(H92:K92)=0,"",K92/SUM(H92:K92))</f>
        <v/>
      </c>
      <c r="T92" s="7">
        <f>IF(SUM(L92:O92)=0,"",L92/SUM(L92:O92))</f>
        <v/>
      </c>
      <c r="U92" s="7">
        <f>IF(SUM(L92:O92)=0,"",M92/SUM(L92:O92))</f>
        <v/>
      </c>
      <c r="V92" s="7">
        <f>IF(SUM(L92:O92)=0,"",N92/SUM(L92:O92))</f>
        <v/>
      </c>
      <c r="W92" s="7">
        <f>IF(SUM(L92:O92)=0,"",O92/SUM(L92:O92))</f>
        <v/>
      </c>
    </row>
    <row r="93">
      <c r="A93" t="n">
        <v>136</v>
      </c>
      <c r="B93" t="inlineStr">
        <is>
          <t>Boy Scout Troop #57</t>
        </is>
      </c>
      <c r="C93" t="n">
        <v>0</v>
      </c>
      <c r="D93" t="n">
        <v>1</v>
      </c>
      <c r="E93" t="n">
        <v>0</v>
      </c>
      <c r="F93" t="n">
        <v>0</v>
      </c>
      <c r="G93" t="b">
        <v>0</v>
      </c>
      <c r="H93" t="n">
        <v>0</v>
      </c>
      <c r="I93" t="n">
        <v>0</v>
      </c>
      <c r="J93" t="n">
        <v>0</v>
      </c>
      <c r="K93" t="n">
        <v>0</v>
      </c>
      <c r="L93" t="n">
        <v>2</v>
      </c>
      <c r="M93" t="n">
        <v>1</v>
      </c>
      <c r="N93" t="n">
        <v>0</v>
      </c>
      <c r="O93" t="n">
        <v>0</v>
      </c>
      <c r="P93" s="7">
        <f>IF(SUM(H93:K93)=0,"",H93/SUM(H93:K93))</f>
        <v/>
      </c>
      <c r="Q93" s="7">
        <f>IF(SUM(H93:K93)=0,"",I93/SUM(H93:K93))</f>
        <v/>
      </c>
      <c r="R93" s="7">
        <f>IF(SUM(H93:K93)=0,"",J93/SUM(H93:K93))</f>
        <v/>
      </c>
      <c r="S93" s="7">
        <f>IF(SUM(H93:K93)=0,"",K93/SUM(H93:K93))</f>
        <v/>
      </c>
      <c r="T93" s="7">
        <f>IF(SUM(L93:O93)=0,"",L93/SUM(L93:O93))</f>
        <v/>
      </c>
      <c r="U93" s="7">
        <f>IF(SUM(L93:O93)=0,"",M93/SUM(L93:O93))</f>
        <v/>
      </c>
      <c r="V93" s="7">
        <f>IF(SUM(L93:O93)=0,"",N93/SUM(L93:O93))</f>
        <v/>
      </c>
      <c r="W93" s="7">
        <f>IF(SUM(L93:O93)=0,"",O93/SUM(L93:O93))</f>
        <v/>
      </c>
    </row>
    <row r="94">
      <c r="A94" t="n">
        <v>137</v>
      </c>
      <c r="B94" t="inlineStr">
        <is>
          <t>Boy Scout Troop #82</t>
        </is>
      </c>
      <c r="C94" t="n">
        <v>0</v>
      </c>
      <c r="D94" t="n">
        <v>1</v>
      </c>
      <c r="E94" t="n">
        <v>0</v>
      </c>
      <c r="F94" t="n">
        <v>0</v>
      </c>
      <c r="G94" t="b">
        <v>0</v>
      </c>
      <c r="H94" t="n">
        <v>0</v>
      </c>
      <c r="I94" t="n">
        <v>0</v>
      </c>
      <c r="J94" t="n">
        <v>0</v>
      </c>
      <c r="K94" t="n">
        <v>0</v>
      </c>
      <c r="L94" t="n">
        <v>2</v>
      </c>
      <c r="M94" t="n">
        <v>1</v>
      </c>
      <c r="N94" t="n">
        <v>0</v>
      </c>
      <c r="O94" t="n">
        <v>0</v>
      </c>
      <c r="P94" s="7">
        <f>IF(SUM(H94:K94)=0,"",H94/SUM(H94:K94))</f>
        <v/>
      </c>
      <c r="Q94" s="7">
        <f>IF(SUM(H94:K94)=0,"",I94/SUM(H94:K94))</f>
        <v/>
      </c>
      <c r="R94" s="7">
        <f>IF(SUM(H94:K94)=0,"",J94/SUM(H94:K94))</f>
        <v/>
      </c>
      <c r="S94" s="7">
        <f>IF(SUM(H94:K94)=0,"",K94/SUM(H94:K94))</f>
        <v/>
      </c>
      <c r="T94" s="7">
        <f>IF(SUM(L94:O94)=0,"",L94/SUM(L94:O94))</f>
        <v/>
      </c>
      <c r="U94" s="7">
        <f>IF(SUM(L94:O94)=0,"",M94/SUM(L94:O94))</f>
        <v/>
      </c>
      <c r="V94" s="7">
        <f>IF(SUM(L94:O94)=0,"",N94/SUM(L94:O94))</f>
        <v/>
      </c>
      <c r="W94" s="7">
        <f>IF(SUM(L94:O94)=0,"",O94/SUM(L94:O94))</f>
        <v/>
      </c>
    </row>
    <row r="95">
      <c r="A95" t="n">
        <v>138</v>
      </c>
      <c r="B95" t="inlineStr">
        <is>
          <t>Campbell University</t>
        </is>
      </c>
      <c r="C95" t="n">
        <v>0</v>
      </c>
      <c r="D95" t="n">
        <v>1</v>
      </c>
      <c r="E95" t="n">
        <v>0</v>
      </c>
      <c r="F95" t="n">
        <v>0</v>
      </c>
      <c r="G95" t="b">
        <v>0</v>
      </c>
      <c r="H95" t="n">
        <v>0</v>
      </c>
      <c r="I95" t="n">
        <v>0</v>
      </c>
      <c r="J95" t="n">
        <v>0</v>
      </c>
      <c r="K95" t="n">
        <v>0</v>
      </c>
      <c r="L95" t="n">
        <v>1</v>
      </c>
      <c r="M95" t="n">
        <v>2</v>
      </c>
      <c r="N95" t="n">
        <v>0</v>
      </c>
      <c r="O95" t="n">
        <v>0</v>
      </c>
      <c r="P95" s="7">
        <f>IF(SUM(H95:K95)=0,"",H95/SUM(H95:K95))</f>
        <v/>
      </c>
      <c r="Q95" s="7">
        <f>IF(SUM(H95:K95)=0,"",I95/SUM(H95:K95))</f>
        <v/>
      </c>
      <c r="R95" s="7">
        <f>IF(SUM(H95:K95)=0,"",J95/SUM(H95:K95))</f>
        <v/>
      </c>
      <c r="S95" s="7">
        <f>IF(SUM(H95:K95)=0,"",K95/SUM(H95:K95))</f>
        <v/>
      </c>
      <c r="T95" s="7">
        <f>IF(SUM(L95:O95)=0,"",L95/SUM(L95:O95))</f>
        <v/>
      </c>
      <c r="U95" s="7">
        <f>IF(SUM(L95:O95)=0,"",M95/SUM(L95:O95))</f>
        <v/>
      </c>
      <c r="V95" s="7">
        <f>IF(SUM(L95:O95)=0,"",N95/SUM(L95:O95))</f>
        <v/>
      </c>
      <c r="W95" s="7">
        <f>IF(SUM(L95:O95)=0,"",O95/SUM(L95:O95))</f>
        <v/>
      </c>
    </row>
    <row r="96">
      <c r="A96" t="n">
        <v>139</v>
      </c>
      <c r="B96" t="inlineStr">
        <is>
          <t>Community Nursing Services of North East</t>
        </is>
      </c>
      <c r="C96" t="n">
        <v>0</v>
      </c>
      <c r="D96" t="n">
        <v>1</v>
      </c>
      <c r="E96" t="n">
        <v>0</v>
      </c>
      <c r="F96" t="n">
        <v>0</v>
      </c>
      <c r="G96" t="b">
        <v>0</v>
      </c>
      <c r="H96" t="n">
        <v>0</v>
      </c>
      <c r="I96" t="n">
        <v>0</v>
      </c>
      <c r="J96" t="n">
        <v>0</v>
      </c>
      <c r="K96" t="n">
        <v>0</v>
      </c>
      <c r="L96" t="n">
        <v>2</v>
      </c>
      <c r="M96" t="n">
        <v>0</v>
      </c>
      <c r="N96" t="n">
        <v>0</v>
      </c>
      <c r="O96" t="n">
        <v>1</v>
      </c>
      <c r="P96" s="7">
        <f>IF(SUM(H96:K96)=0,"",H96/SUM(H96:K96))</f>
        <v/>
      </c>
      <c r="Q96" s="7">
        <f>IF(SUM(H96:K96)=0,"",I96/SUM(H96:K96))</f>
        <v/>
      </c>
      <c r="R96" s="7">
        <f>IF(SUM(H96:K96)=0,"",J96/SUM(H96:K96))</f>
        <v/>
      </c>
      <c r="S96" s="7">
        <f>IF(SUM(H96:K96)=0,"",K96/SUM(H96:K96))</f>
        <v/>
      </c>
      <c r="T96" s="7">
        <f>IF(SUM(L96:O96)=0,"",L96/SUM(L96:O96))</f>
        <v/>
      </c>
      <c r="U96" s="7">
        <f>IF(SUM(L96:O96)=0,"",M96/SUM(L96:O96))</f>
        <v/>
      </c>
      <c r="V96" s="7">
        <f>IF(SUM(L96:O96)=0,"",N96/SUM(L96:O96))</f>
        <v/>
      </c>
      <c r="W96" s="7">
        <f>IF(SUM(L96:O96)=0,"",O96/SUM(L96:O96))</f>
        <v/>
      </c>
    </row>
    <row r="97">
      <c r="A97" t="n">
        <v>140</v>
      </c>
      <c r="B97" t="inlineStr">
        <is>
          <t>Crescent Hose Co.</t>
        </is>
      </c>
      <c r="C97" t="n">
        <v>0</v>
      </c>
      <c r="D97" t="n">
        <v>1</v>
      </c>
      <c r="E97" t="n">
        <v>0</v>
      </c>
      <c r="F97" t="n">
        <v>0</v>
      </c>
      <c r="G97" t="b">
        <v>0</v>
      </c>
      <c r="H97" t="n">
        <v>0</v>
      </c>
      <c r="I97" t="n">
        <v>0</v>
      </c>
      <c r="J97" t="n">
        <v>0</v>
      </c>
      <c r="K97" t="n">
        <v>0</v>
      </c>
      <c r="L97" t="n">
        <v>2</v>
      </c>
      <c r="M97" t="n">
        <v>0</v>
      </c>
      <c r="N97" t="n">
        <v>1</v>
      </c>
      <c r="O97" t="n">
        <v>0</v>
      </c>
      <c r="P97" s="7">
        <f>IF(SUM(H97:K97)=0,"",H97/SUM(H97:K97))</f>
        <v/>
      </c>
      <c r="Q97" s="7">
        <f>IF(SUM(H97:K97)=0,"",I97/SUM(H97:K97))</f>
        <v/>
      </c>
      <c r="R97" s="7">
        <f>IF(SUM(H97:K97)=0,"",J97/SUM(H97:K97))</f>
        <v/>
      </c>
      <c r="S97" s="7">
        <f>IF(SUM(H97:K97)=0,"",K97/SUM(H97:K97))</f>
        <v/>
      </c>
      <c r="T97" s="7">
        <f>IF(SUM(L97:O97)=0,"",L97/SUM(L97:O97))</f>
        <v/>
      </c>
      <c r="U97" s="7">
        <f>IF(SUM(L97:O97)=0,"",M97/SUM(L97:O97))</f>
        <v/>
      </c>
      <c r="V97" s="7">
        <f>IF(SUM(L97:O97)=0,"",N97/SUM(L97:O97))</f>
        <v/>
      </c>
      <c r="W97" s="7">
        <f>IF(SUM(L97:O97)=0,"",O97/SUM(L97:O97))</f>
        <v/>
      </c>
    </row>
    <row r="98">
      <c r="A98" t="n">
        <v>141</v>
      </c>
      <c r="B98" t="inlineStr">
        <is>
          <t>Cub Scout Pack #57</t>
        </is>
      </c>
      <c r="C98" t="n">
        <v>0</v>
      </c>
      <c r="D98" t="n">
        <v>1</v>
      </c>
      <c r="E98" t="n">
        <v>0</v>
      </c>
      <c r="F98" t="n">
        <v>0</v>
      </c>
      <c r="G98" t="b">
        <v>0</v>
      </c>
      <c r="H98" t="n">
        <v>0</v>
      </c>
      <c r="I98" t="n">
        <v>0</v>
      </c>
      <c r="J98" t="n">
        <v>0</v>
      </c>
      <c r="K98" t="n">
        <v>0</v>
      </c>
      <c r="L98" t="n">
        <v>2</v>
      </c>
      <c r="M98" t="n">
        <v>1</v>
      </c>
      <c r="N98" t="n">
        <v>0</v>
      </c>
      <c r="O98" t="n">
        <v>0</v>
      </c>
      <c r="P98" s="7">
        <f>IF(SUM(H98:K98)=0,"",H98/SUM(H98:K98))</f>
        <v/>
      </c>
      <c r="Q98" s="7">
        <f>IF(SUM(H98:K98)=0,"",I98/SUM(H98:K98))</f>
        <v/>
      </c>
      <c r="R98" s="7">
        <f>IF(SUM(H98:K98)=0,"",J98/SUM(H98:K98))</f>
        <v/>
      </c>
      <c r="S98" s="7">
        <f>IF(SUM(H98:K98)=0,"",K98/SUM(H98:K98))</f>
        <v/>
      </c>
      <c r="T98" s="7">
        <f>IF(SUM(L98:O98)=0,"",L98/SUM(L98:O98))</f>
        <v/>
      </c>
      <c r="U98" s="7">
        <f>IF(SUM(L98:O98)=0,"",M98/SUM(L98:O98))</f>
        <v/>
      </c>
      <c r="V98" s="7">
        <f>IF(SUM(L98:O98)=0,"",N98/SUM(L98:O98))</f>
        <v/>
      </c>
      <c r="W98" s="7">
        <f>IF(SUM(L98:O98)=0,"",O98/SUM(L98:O98))</f>
        <v/>
      </c>
    </row>
    <row r="99">
      <c r="A99" t="n">
        <v>142</v>
      </c>
      <c r="B99" t="inlineStr">
        <is>
          <t>Cub Scout Pack #82</t>
        </is>
      </c>
      <c r="C99" t="n">
        <v>0</v>
      </c>
      <c r="D99" t="n">
        <v>1</v>
      </c>
      <c r="E99" t="n">
        <v>0</v>
      </c>
      <c r="F99" t="n">
        <v>0</v>
      </c>
      <c r="G99" t="b">
        <v>0</v>
      </c>
      <c r="H99" t="n">
        <v>0</v>
      </c>
      <c r="I99" t="n">
        <v>0</v>
      </c>
      <c r="J99" t="n">
        <v>0</v>
      </c>
      <c r="K99" t="n">
        <v>0</v>
      </c>
      <c r="L99" t="n">
        <v>2</v>
      </c>
      <c r="M99" t="n">
        <v>1</v>
      </c>
      <c r="N99" t="n">
        <v>0</v>
      </c>
      <c r="O99" t="n">
        <v>0</v>
      </c>
      <c r="P99" s="7">
        <f>IF(SUM(H99:K99)=0,"",H99/SUM(H99:K99))</f>
        <v/>
      </c>
      <c r="Q99" s="7">
        <f>IF(SUM(H99:K99)=0,"",I99/SUM(H99:K99))</f>
        <v/>
      </c>
      <c r="R99" s="7">
        <f>IF(SUM(H99:K99)=0,"",J99/SUM(H99:K99))</f>
        <v/>
      </c>
      <c r="S99" s="7">
        <f>IF(SUM(H99:K99)=0,"",K99/SUM(H99:K99))</f>
        <v/>
      </c>
      <c r="T99" s="7">
        <f>IF(SUM(L99:O99)=0,"",L99/SUM(L99:O99))</f>
        <v/>
      </c>
      <c r="U99" s="7">
        <f>IF(SUM(L99:O99)=0,"",M99/SUM(L99:O99))</f>
        <v/>
      </c>
      <c r="V99" s="7">
        <f>IF(SUM(L99:O99)=0,"",N99/SUM(L99:O99))</f>
        <v/>
      </c>
      <c r="W99" s="7">
        <f>IF(SUM(L99:O99)=0,"",O99/SUM(L99:O99))</f>
        <v/>
      </c>
    </row>
    <row r="100">
      <c r="A100" t="n">
        <v>143</v>
      </c>
      <c r="B100" t="inlineStr">
        <is>
          <t>Door Student Services, Inc Downtown North East, Inc. Edinboro University</t>
        </is>
      </c>
      <c r="C100" t="n">
        <v>0</v>
      </c>
      <c r="D100" t="n">
        <v>1</v>
      </c>
      <c r="E100" t="n">
        <v>0</v>
      </c>
      <c r="F100" t="n">
        <v>0</v>
      </c>
      <c r="G100" t="b">
        <v>0</v>
      </c>
      <c r="H100" t="n">
        <v>0</v>
      </c>
      <c r="I100" t="n">
        <v>0</v>
      </c>
      <c r="J100" t="n">
        <v>0</v>
      </c>
      <c r="K100" t="n">
        <v>0</v>
      </c>
      <c r="L100" t="n">
        <v>2</v>
      </c>
      <c r="M100" t="n">
        <v>1</v>
      </c>
      <c r="N100" t="n">
        <v>0</v>
      </c>
      <c r="O100" t="n">
        <v>0</v>
      </c>
      <c r="P100" s="7">
        <f>IF(SUM(H100:K100)=0,"",H100/SUM(H100:K100))</f>
        <v/>
      </c>
      <c r="Q100" s="7">
        <f>IF(SUM(H100:K100)=0,"",I100/SUM(H100:K100))</f>
        <v/>
      </c>
      <c r="R100" s="7">
        <f>IF(SUM(H100:K100)=0,"",J100/SUM(H100:K100))</f>
        <v/>
      </c>
      <c r="S100" s="7">
        <f>IF(SUM(H100:K100)=0,"",K100/SUM(H100:K100))</f>
        <v/>
      </c>
      <c r="T100" s="7">
        <f>IF(SUM(L100:O100)=0,"",L100/SUM(L100:O100))</f>
        <v/>
      </c>
      <c r="U100" s="7">
        <f>IF(SUM(L100:O100)=0,"",M100/SUM(L100:O100))</f>
        <v/>
      </c>
      <c r="V100" s="7">
        <f>IF(SUM(L100:O100)=0,"",N100/SUM(L100:O100))</f>
        <v/>
      </c>
      <c r="W100" s="7">
        <f>IF(SUM(L100:O100)=0,"",O100/SUM(L100:O100))</f>
        <v/>
      </c>
    </row>
    <row r="101">
      <c r="A101" t="n">
        <v>144</v>
      </c>
      <c r="B101" t="inlineStr">
        <is>
          <t>Episcopal Church of the Holy Cross First Baptist Church of North East First Presbyterian Church of North East</t>
        </is>
      </c>
      <c r="C101" t="n">
        <v>0</v>
      </c>
      <c r="D101" t="n">
        <v>1</v>
      </c>
      <c r="E101" t="n">
        <v>0</v>
      </c>
      <c r="F101" t="n">
        <v>0</v>
      </c>
      <c r="G101" t="b">
        <v>0</v>
      </c>
      <c r="H101" t="n">
        <v>0</v>
      </c>
      <c r="I101" t="n">
        <v>0</v>
      </c>
      <c r="J101" t="n">
        <v>0</v>
      </c>
      <c r="K101" t="n">
        <v>0</v>
      </c>
      <c r="L101" t="n">
        <v>2</v>
      </c>
      <c r="M101" t="n">
        <v>1</v>
      </c>
      <c r="N101" t="n">
        <v>0</v>
      </c>
      <c r="O101" t="n">
        <v>0</v>
      </c>
      <c r="P101" s="7">
        <f>IF(SUM(H101:K101)=0,"",H101/SUM(H101:K101))</f>
        <v/>
      </c>
      <c r="Q101" s="7">
        <f>IF(SUM(H101:K101)=0,"",I101/SUM(H101:K101))</f>
        <v/>
      </c>
      <c r="R101" s="7">
        <f>IF(SUM(H101:K101)=0,"",J101/SUM(H101:K101))</f>
        <v/>
      </c>
      <c r="S101" s="7">
        <f>IF(SUM(H101:K101)=0,"",K101/SUM(H101:K101))</f>
        <v/>
      </c>
      <c r="T101" s="7">
        <f>IF(SUM(L101:O101)=0,"",L101/SUM(L101:O101))</f>
        <v/>
      </c>
      <c r="U101" s="7">
        <f>IF(SUM(L101:O101)=0,"",M101/SUM(L101:O101))</f>
        <v/>
      </c>
      <c r="V101" s="7">
        <f>IF(SUM(L101:O101)=0,"",N101/SUM(L101:O101))</f>
        <v/>
      </c>
      <c r="W101" s="7">
        <f>IF(SUM(L101:O101)=0,"",O101/SUM(L101:O101))</f>
        <v/>
      </c>
    </row>
    <row r="102">
      <c r="A102" t="n">
        <v>145</v>
      </c>
      <c r="B102" t="inlineStr">
        <is>
          <t>Fuller Hose Company</t>
        </is>
      </c>
      <c r="C102" t="n">
        <v>0</v>
      </c>
      <c r="D102" t="n">
        <v>1</v>
      </c>
      <c r="E102" t="n">
        <v>0</v>
      </c>
      <c r="F102" t="n">
        <v>0</v>
      </c>
      <c r="G102" t="b">
        <v>0</v>
      </c>
      <c r="H102" t="n">
        <v>0</v>
      </c>
      <c r="I102" t="n">
        <v>0</v>
      </c>
      <c r="J102" t="n">
        <v>0</v>
      </c>
      <c r="K102" t="n">
        <v>0</v>
      </c>
      <c r="L102" t="n">
        <v>2</v>
      </c>
      <c r="M102" t="n">
        <v>0</v>
      </c>
      <c r="N102" t="n">
        <v>1</v>
      </c>
      <c r="O102" t="n">
        <v>0</v>
      </c>
      <c r="P102" s="7">
        <f>IF(SUM(H102:K102)=0,"",H102/SUM(H102:K102))</f>
        <v/>
      </c>
      <c r="Q102" s="7">
        <f>IF(SUM(H102:K102)=0,"",I102/SUM(H102:K102))</f>
        <v/>
      </c>
      <c r="R102" s="7">
        <f>IF(SUM(H102:K102)=0,"",J102/SUM(H102:K102))</f>
        <v/>
      </c>
      <c r="S102" s="7">
        <f>IF(SUM(H102:K102)=0,"",K102/SUM(H102:K102))</f>
        <v/>
      </c>
      <c r="T102" s="7">
        <f>IF(SUM(L102:O102)=0,"",L102/SUM(L102:O102))</f>
        <v/>
      </c>
      <c r="U102" s="7">
        <f>IF(SUM(L102:O102)=0,"",M102/SUM(L102:O102))</f>
        <v/>
      </c>
      <c r="V102" s="7">
        <f>IF(SUM(L102:O102)=0,"",N102/SUM(L102:O102))</f>
        <v/>
      </c>
      <c r="W102" s="7">
        <f>IF(SUM(L102:O102)=0,"",O102/SUM(L102:O102))</f>
        <v/>
      </c>
    </row>
    <row r="103">
      <c r="A103" t="n">
        <v>146</v>
      </c>
      <c r="B103" t="inlineStr">
        <is>
          <t>Gannon University</t>
        </is>
      </c>
      <c r="C103" t="n">
        <v>0</v>
      </c>
      <c r="D103" t="n">
        <v>1</v>
      </c>
      <c r="E103" t="n">
        <v>0</v>
      </c>
      <c r="F103" t="n">
        <v>0</v>
      </c>
      <c r="G103" t="b">
        <v>0</v>
      </c>
      <c r="H103" t="n">
        <v>0</v>
      </c>
      <c r="I103" t="n">
        <v>0</v>
      </c>
      <c r="J103" t="n">
        <v>0</v>
      </c>
      <c r="K103" t="n">
        <v>0</v>
      </c>
      <c r="L103" t="n">
        <v>1</v>
      </c>
      <c r="M103" t="n">
        <v>2</v>
      </c>
      <c r="N103" t="n">
        <v>0</v>
      </c>
      <c r="O103" t="n">
        <v>0</v>
      </c>
      <c r="P103" s="7">
        <f>IF(SUM(H103:K103)=0,"",H103/SUM(H103:K103))</f>
        <v/>
      </c>
      <c r="Q103" s="7">
        <f>IF(SUM(H103:K103)=0,"",I103/SUM(H103:K103))</f>
        <v/>
      </c>
      <c r="R103" s="7">
        <f>IF(SUM(H103:K103)=0,"",J103/SUM(H103:K103))</f>
        <v/>
      </c>
      <c r="S103" s="7">
        <f>IF(SUM(H103:K103)=0,"",K103/SUM(H103:K103))</f>
        <v/>
      </c>
      <c r="T103" s="7">
        <f>IF(SUM(L103:O103)=0,"",L103/SUM(L103:O103))</f>
        <v/>
      </c>
      <c r="U103" s="7">
        <f>IF(SUM(L103:O103)=0,"",M103/SUM(L103:O103))</f>
        <v/>
      </c>
      <c r="V103" s="7">
        <f>IF(SUM(L103:O103)=0,"",N103/SUM(L103:O103))</f>
        <v/>
      </c>
      <c r="W103" s="7">
        <f>IF(SUM(L103:O103)=0,"",O103/SUM(L103:O103))</f>
        <v/>
      </c>
    </row>
    <row r="104">
      <c r="A104" t="n">
        <v>147</v>
      </c>
      <c r="B104" t="inlineStr">
        <is>
          <t>Lake Shore Railway Historical Society Inc.</t>
        </is>
      </c>
      <c r="C104" t="n">
        <v>0</v>
      </c>
      <c r="D104" t="n">
        <v>1</v>
      </c>
      <c r="E104" t="n">
        <v>0</v>
      </c>
      <c r="F104" t="n">
        <v>0</v>
      </c>
      <c r="G104" t="b">
        <v>0</v>
      </c>
      <c r="H104" t="n">
        <v>0</v>
      </c>
      <c r="I104" t="n">
        <v>0</v>
      </c>
      <c r="J104" t="n">
        <v>0</v>
      </c>
      <c r="K104" t="n">
        <v>0</v>
      </c>
      <c r="L104" t="n">
        <v>2</v>
      </c>
      <c r="M104" t="n">
        <v>1</v>
      </c>
      <c r="N104" t="n">
        <v>0</v>
      </c>
      <c r="O104" t="n">
        <v>0</v>
      </c>
      <c r="P104" s="7">
        <f>IF(SUM(H104:K104)=0,"",H104/SUM(H104:K104))</f>
        <v/>
      </c>
      <c r="Q104" s="7">
        <f>IF(SUM(H104:K104)=0,"",I104/SUM(H104:K104))</f>
        <v/>
      </c>
      <c r="R104" s="7">
        <f>IF(SUM(H104:K104)=0,"",J104/SUM(H104:K104))</f>
        <v/>
      </c>
      <c r="S104" s="7">
        <f>IF(SUM(H104:K104)=0,"",K104/SUM(H104:K104))</f>
        <v/>
      </c>
      <c r="T104" s="7">
        <f>IF(SUM(L104:O104)=0,"",L104/SUM(L104:O104))</f>
        <v/>
      </c>
      <c r="U104" s="7">
        <f>IF(SUM(L104:O104)=0,"",M104/SUM(L104:O104))</f>
        <v/>
      </c>
      <c r="V104" s="7">
        <f>IF(SUM(L104:O104)=0,"",N104/SUM(L104:O104))</f>
        <v/>
      </c>
      <c r="W104" s="7">
        <f>IF(SUM(L104:O104)=0,"",O104/SUM(L104:O104))</f>
        <v/>
      </c>
    </row>
    <row r="105">
      <c r="A105" t="n">
        <v>148</v>
      </c>
      <c r="B105" t="inlineStr">
        <is>
          <t>Livermore Valley Performing Arts Center Lock Haven University</t>
        </is>
      </c>
      <c r="C105" t="n">
        <v>0</v>
      </c>
      <c r="D105" t="n">
        <v>1</v>
      </c>
      <c r="E105" t="n">
        <v>0</v>
      </c>
      <c r="F105" t="n">
        <v>0</v>
      </c>
      <c r="G105" t="b">
        <v>0</v>
      </c>
      <c r="H105" t="n">
        <v>0</v>
      </c>
      <c r="I105" t="n">
        <v>0</v>
      </c>
      <c r="J105" t="n">
        <v>0</v>
      </c>
      <c r="K105" t="n">
        <v>0</v>
      </c>
      <c r="L105" t="n">
        <v>1</v>
      </c>
      <c r="M105" t="n">
        <v>2</v>
      </c>
      <c r="N105" t="n">
        <v>0</v>
      </c>
      <c r="O105" t="n">
        <v>0</v>
      </c>
      <c r="P105" s="7">
        <f>IF(SUM(H105:K105)=0,"",H105/SUM(H105:K105))</f>
        <v/>
      </c>
      <c r="Q105" s="7">
        <f>IF(SUM(H105:K105)=0,"",I105/SUM(H105:K105))</f>
        <v/>
      </c>
      <c r="R105" s="7">
        <f>IF(SUM(H105:K105)=0,"",J105/SUM(H105:K105))</f>
        <v/>
      </c>
      <c r="S105" s="7">
        <f>IF(SUM(H105:K105)=0,"",K105/SUM(H105:K105))</f>
        <v/>
      </c>
      <c r="T105" s="7">
        <f>IF(SUM(L105:O105)=0,"",L105/SUM(L105:O105))</f>
        <v/>
      </c>
      <c r="U105" s="7">
        <f>IF(SUM(L105:O105)=0,"",M105/SUM(L105:O105))</f>
        <v/>
      </c>
      <c r="V105" s="7">
        <f>IF(SUM(L105:O105)=0,"",N105/SUM(L105:O105))</f>
        <v/>
      </c>
      <c r="W105" s="7">
        <f>IF(SUM(L105:O105)=0,"",O105/SUM(L105:O105))</f>
        <v/>
      </c>
    </row>
    <row r="106">
      <c r="A106" t="n">
        <v>149</v>
      </c>
      <c r="B106" t="inlineStr">
        <is>
          <t>McCord Memorial Library</t>
        </is>
      </c>
      <c r="C106" t="n">
        <v>0</v>
      </c>
      <c r="D106" t="n">
        <v>1</v>
      </c>
      <c r="E106" t="n">
        <v>0</v>
      </c>
      <c r="F106" t="n">
        <v>0</v>
      </c>
      <c r="G106" t="b">
        <v>0</v>
      </c>
      <c r="H106" t="n">
        <v>0</v>
      </c>
      <c r="I106" t="n">
        <v>0</v>
      </c>
      <c r="J106" t="n">
        <v>0</v>
      </c>
      <c r="K106" t="n">
        <v>0</v>
      </c>
      <c r="L106" t="n">
        <v>2</v>
      </c>
      <c r="M106" t="n">
        <v>1</v>
      </c>
      <c r="N106" t="n">
        <v>0</v>
      </c>
      <c r="O106" t="n">
        <v>0</v>
      </c>
      <c r="P106" s="7">
        <f>IF(SUM(H106:K106)=0,"",H106/SUM(H106:K106))</f>
        <v/>
      </c>
      <c r="Q106" s="7">
        <f>IF(SUM(H106:K106)=0,"",I106/SUM(H106:K106))</f>
        <v/>
      </c>
      <c r="R106" s="7">
        <f>IF(SUM(H106:K106)=0,"",J106/SUM(H106:K106))</f>
        <v/>
      </c>
      <c r="S106" s="7">
        <f>IF(SUM(H106:K106)=0,"",K106/SUM(H106:K106))</f>
        <v/>
      </c>
      <c r="T106" s="7">
        <f>IF(SUM(L106:O106)=0,"",L106/SUM(L106:O106))</f>
        <v/>
      </c>
      <c r="U106" s="7">
        <f>IF(SUM(L106:O106)=0,"",M106/SUM(L106:O106))</f>
        <v/>
      </c>
      <c r="V106" s="7">
        <f>IF(SUM(L106:O106)=0,"",N106/SUM(L106:O106))</f>
        <v/>
      </c>
      <c r="W106" s="7">
        <f>IF(SUM(L106:O106)=0,"",O106/SUM(L106:O106))</f>
        <v/>
      </c>
    </row>
    <row r="107">
      <c r="A107" t="n">
        <v>150</v>
      </c>
      <c r="B107" t="inlineStr">
        <is>
          <t>North East Arts Council North East Band Boosters North East Food Pantry North East Historical Society North East in Bloom North East Little League North East School District Foundation North East School Scholarship Fund</t>
        </is>
      </c>
      <c r="C107" t="n">
        <v>0</v>
      </c>
      <c r="D107" t="n">
        <v>1</v>
      </c>
      <c r="E107" t="n">
        <v>0</v>
      </c>
      <c r="F107" t="n">
        <v>0</v>
      </c>
      <c r="G107" t="b">
        <v>0</v>
      </c>
      <c r="H107" t="n">
        <v>0</v>
      </c>
      <c r="I107" t="n">
        <v>0</v>
      </c>
      <c r="J107" t="n">
        <v>0</v>
      </c>
      <c r="K107" t="n">
        <v>0</v>
      </c>
      <c r="L107" t="n">
        <v>2</v>
      </c>
      <c r="M107" t="n">
        <v>1</v>
      </c>
      <c r="N107" t="n">
        <v>0</v>
      </c>
      <c r="O107" t="n">
        <v>0</v>
      </c>
      <c r="P107" s="7">
        <f>IF(SUM(H107:K107)=0,"",H107/SUM(H107:K107))</f>
        <v/>
      </c>
      <c r="Q107" s="7">
        <f>IF(SUM(H107:K107)=0,"",I107/SUM(H107:K107))</f>
        <v/>
      </c>
      <c r="R107" s="7">
        <f>IF(SUM(H107:K107)=0,"",J107/SUM(H107:K107))</f>
        <v/>
      </c>
      <c r="S107" s="7">
        <f>IF(SUM(H107:K107)=0,"",K107/SUM(H107:K107))</f>
        <v/>
      </c>
      <c r="T107" s="7">
        <f>IF(SUM(L107:O107)=0,"",L107/SUM(L107:O107))</f>
        <v/>
      </c>
      <c r="U107" s="7">
        <f>IF(SUM(L107:O107)=0,"",M107/SUM(L107:O107))</f>
        <v/>
      </c>
      <c r="V107" s="7">
        <f>IF(SUM(L107:O107)=0,"",N107/SUM(L107:O107))</f>
        <v/>
      </c>
      <c r="W107" s="7">
        <f>IF(SUM(L107:O107)=0,"",O107/SUM(L107:O107))</f>
        <v/>
      </c>
    </row>
    <row r="108">
      <c r="A108" t="n">
        <v>151</v>
      </c>
      <c r="B108" t="inlineStr">
        <is>
          <t>Orchard Beach Assembly</t>
        </is>
      </c>
      <c r="C108" t="n">
        <v>0</v>
      </c>
      <c r="D108" t="n">
        <v>1</v>
      </c>
      <c r="E108" t="n">
        <v>0</v>
      </c>
      <c r="F108" t="n">
        <v>0</v>
      </c>
      <c r="G108" t="b">
        <v>0</v>
      </c>
      <c r="H108" t="n">
        <v>0</v>
      </c>
      <c r="I108" t="n">
        <v>0</v>
      </c>
      <c r="J108" t="n">
        <v>0</v>
      </c>
      <c r="K108" t="n">
        <v>0</v>
      </c>
      <c r="L108" t="n">
        <v>2</v>
      </c>
      <c r="M108" t="n">
        <v>1</v>
      </c>
      <c r="N108" t="n">
        <v>0</v>
      </c>
      <c r="O108" t="n">
        <v>0</v>
      </c>
      <c r="P108" s="7">
        <f>IF(SUM(H108:K108)=0,"",H108/SUM(H108:K108))</f>
        <v/>
      </c>
      <c r="Q108" s="7">
        <f>IF(SUM(H108:K108)=0,"",I108/SUM(H108:K108))</f>
        <v/>
      </c>
      <c r="R108" s="7">
        <f>IF(SUM(H108:K108)=0,"",J108/SUM(H108:K108))</f>
        <v/>
      </c>
      <c r="S108" s="7">
        <f>IF(SUM(H108:K108)=0,"",K108/SUM(H108:K108))</f>
        <v/>
      </c>
      <c r="T108" s="7">
        <f>IF(SUM(L108:O108)=0,"",L108/SUM(L108:O108))</f>
        <v/>
      </c>
      <c r="U108" s="7">
        <f>IF(SUM(L108:O108)=0,"",M108/SUM(L108:O108))</f>
        <v/>
      </c>
      <c r="V108" s="7">
        <f>IF(SUM(L108:O108)=0,"",N108/SUM(L108:O108))</f>
        <v/>
      </c>
      <c r="W108" s="7">
        <f>IF(SUM(L108:O108)=0,"",O108/SUM(L108:O108))</f>
        <v/>
      </c>
    </row>
    <row r="109">
      <c r="A109" t="n">
        <v>153</v>
      </c>
      <c r="B109" t="inlineStr">
        <is>
          <t>United Methodist Church</t>
        </is>
      </c>
      <c r="C109" t="n">
        <v>0</v>
      </c>
      <c r="D109" t="n">
        <v>1</v>
      </c>
      <c r="E109" t="n">
        <v>0</v>
      </c>
      <c r="F109" t="n">
        <v>0</v>
      </c>
      <c r="G109" t="b">
        <v>0</v>
      </c>
      <c r="H109" t="n">
        <v>0</v>
      </c>
      <c r="I109" t="n">
        <v>0</v>
      </c>
      <c r="J109" t="n">
        <v>0</v>
      </c>
      <c r="K109" t="n">
        <v>0</v>
      </c>
      <c r="L109" t="n">
        <v>2</v>
      </c>
      <c r="M109" t="n">
        <v>1</v>
      </c>
      <c r="N109" t="n">
        <v>0</v>
      </c>
      <c r="O109" t="n">
        <v>0</v>
      </c>
      <c r="P109" s="7">
        <f>IF(SUM(H109:K109)=0,"",H109/SUM(H109:K109))</f>
        <v/>
      </c>
      <c r="Q109" s="7">
        <f>IF(SUM(H109:K109)=0,"",I109/SUM(H109:K109))</f>
        <v/>
      </c>
      <c r="R109" s="7">
        <f>IF(SUM(H109:K109)=0,"",J109/SUM(H109:K109))</f>
        <v/>
      </c>
      <c r="S109" s="7">
        <f>IF(SUM(H109:K109)=0,"",K109/SUM(H109:K109))</f>
        <v/>
      </c>
      <c r="T109" s="7">
        <f>IF(SUM(L109:O109)=0,"",L109/SUM(L109:O109))</f>
        <v/>
      </c>
      <c r="U109" s="7">
        <f>IF(SUM(L109:O109)=0,"",M109/SUM(L109:O109))</f>
        <v/>
      </c>
      <c r="V109" s="7">
        <f>IF(SUM(L109:O109)=0,"",N109/SUM(L109:O109))</f>
        <v/>
      </c>
      <c r="W109" s="7">
        <f>IF(SUM(L109:O109)=0,"",O109/SUM(L109:O109))</f>
        <v/>
      </c>
    </row>
    <row r="110">
      <c r="A110" t="n">
        <v>154</v>
      </c>
      <c r="B110" t="inlineStr">
        <is>
          <t>Penn State</t>
        </is>
      </c>
      <c r="C110" t="n">
        <v>0</v>
      </c>
      <c r="D110" t="n">
        <v>1</v>
      </c>
      <c r="E110" t="n">
        <v>0</v>
      </c>
      <c r="F110" t="n">
        <v>0</v>
      </c>
      <c r="G110" t="b">
        <v>0</v>
      </c>
      <c r="H110" t="n">
        <v>0</v>
      </c>
      <c r="I110" t="n">
        <v>0</v>
      </c>
      <c r="J110" t="n">
        <v>0</v>
      </c>
      <c r="K110" t="n">
        <v>0</v>
      </c>
      <c r="L110" t="n">
        <v>1</v>
      </c>
      <c r="M110" t="n">
        <v>2</v>
      </c>
      <c r="N110" t="n">
        <v>0</v>
      </c>
      <c r="O110" t="n">
        <v>0</v>
      </c>
      <c r="P110" s="7">
        <f>IF(SUM(H110:K110)=0,"",H110/SUM(H110:K110))</f>
        <v/>
      </c>
      <c r="Q110" s="7">
        <f>IF(SUM(H110:K110)=0,"",I110/SUM(H110:K110))</f>
        <v/>
      </c>
      <c r="R110" s="7">
        <f>IF(SUM(H110:K110)=0,"",J110/SUM(H110:K110))</f>
        <v/>
      </c>
      <c r="S110" s="7">
        <f>IF(SUM(H110:K110)=0,"",K110/SUM(H110:K110))</f>
        <v/>
      </c>
      <c r="T110" s="7">
        <f>IF(SUM(L110:O110)=0,"",L110/SUM(L110:O110))</f>
        <v/>
      </c>
      <c r="U110" s="7">
        <f>IF(SUM(L110:O110)=0,"",M110/SUM(L110:O110))</f>
        <v/>
      </c>
      <c r="V110" s="7">
        <f>IF(SUM(L110:O110)=0,"",N110/SUM(L110:O110))</f>
        <v/>
      </c>
      <c r="W110" s="7">
        <f>IF(SUM(L110:O110)=0,"",O110/SUM(L110:O110))</f>
        <v/>
      </c>
    </row>
    <row r="111">
      <c r="A111" t="n">
        <v>155</v>
      </c>
      <c r="B111" t="inlineStr">
        <is>
          <t>Erie, The Behrend College Penn State University</t>
        </is>
      </c>
      <c r="C111" t="n">
        <v>0</v>
      </c>
      <c r="D111" t="n">
        <v>1</v>
      </c>
      <c r="E111" t="n">
        <v>0</v>
      </c>
      <c r="F111" t="n">
        <v>0</v>
      </c>
      <c r="G111" t="b">
        <v>0</v>
      </c>
      <c r="H111" t="n">
        <v>0</v>
      </c>
      <c r="I111" t="n">
        <v>0</v>
      </c>
      <c r="J111" t="n">
        <v>0</v>
      </c>
      <c r="K111" t="n">
        <v>0</v>
      </c>
      <c r="L111" t="n">
        <v>1</v>
      </c>
      <c r="M111" t="n">
        <v>2</v>
      </c>
      <c r="N111" t="n">
        <v>0</v>
      </c>
      <c r="O111" t="n">
        <v>0</v>
      </c>
      <c r="P111" s="7">
        <f>IF(SUM(H111:K111)=0,"",H111/SUM(H111:K111))</f>
        <v/>
      </c>
      <c r="Q111" s="7">
        <f>IF(SUM(H111:K111)=0,"",I111/SUM(H111:K111))</f>
        <v/>
      </c>
      <c r="R111" s="7">
        <f>IF(SUM(H111:K111)=0,"",J111/SUM(H111:K111))</f>
        <v/>
      </c>
      <c r="S111" s="7">
        <f>IF(SUM(H111:K111)=0,"",K111/SUM(H111:K111))</f>
        <v/>
      </c>
      <c r="T111" s="7">
        <f>IF(SUM(L111:O111)=0,"",L111/SUM(L111:O111))</f>
        <v/>
      </c>
      <c r="U111" s="7">
        <f>IF(SUM(L111:O111)=0,"",M111/SUM(L111:O111))</f>
        <v/>
      </c>
      <c r="V111" s="7">
        <f>IF(SUM(L111:O111)=0,"",N111/SUM(L111:O111))</f>
        <v/>
      </c>
      <c r="W111" s="7">
        <f>IF(SUM(L111:O111)=0,"",O111/SUM(L111:O111))</f>
        <v/>
      </c>
    </row>
    <row r="112">
      <c r="A112" t="n">
        <v>156</v>
      </c>
      <c r="B112" t="inlineStr">
        <is>
          <t>Powerful Pink Warriors Project</t>
        </is>
      </c>
      <c r="C112" t="n">
        <v>0</v>
      </c>
      <c r="D112" t="n">
        <v>1</v>
      </c>
      <c r="E112" t="n">
        <v>0</v>
      </c>
      <c r="F112" t="n">
        <v>0</v>
      </c>
      <c r="G112" t="b">
        <v>0</v>
      </c>
      <c r="H112" t="n">
        <v>0</v>
      </c>
      <c r="I112" t="n">
        <v>0</v>
      </c>
      <c r="J112" t="n">
        <v>0</v>
      </c>
      <c r="K112" t="n">
        <v>0</v>
      </c>
      <c r="L112" t="n">
        <v>2</v>
      </c>
      <c r="M112" t="n">
        <v>0</v>
      </c>
      <c r="N112" t="n">
        <v>0</v>
      </c>
      <c r="O112" t="n">
        <v>1</v>
      </c>
      <c r="P112" s="7">
        <f>IF(SUM(H112:K112)=0,"",H112/SUM(H112:K112))</f>
        <v/>
      </c>
      <c r="Q112" s="7">
        <f>IF(SUM(H112:K112)=0,"",I112/SUM(H112:K112))</f>
        <v/>
      </c>
      <c r="R112" s="7">
        <f>IF(SUM(H112:K112)=0,"",J112/SUM(H112:K112))</f>
        <v/>
      </c>
      <c r="S112" s="7">
        <f>IF(SUM(H112:K112)=0,"",K112/SUM(H112:K112))</f>
        <v/>
      </c>
      <c r="T112" s="7">
        <f>IF(SUM(L112:O112)=0,"",L112/SUM(L112:O112))</f>
        <v/>
      </c>
      <c r="U112" s="7">
        <f>IF(SUM(L112:O112)=0,"",M112/SUM(L112:O112))</f>
        <v/>
      </c>
      <c r="V112" s="7">
        <f>IF(SUM(L112:O112)=0,"",N112/SUM(L112:O112))</f>
        <v/>
      </c>
      <c r="W112" s="7">
        <f>IF(SUM(L112:O112)=0,"",O112/SUM(L112:O112))</f>
        <v/>
      </c>
    </row>
    <row r="113">
      <c r="A113" t="n">
        <v>157</v>
      </c>
      <c r="B113" t="inlineStr">
        <is>
          <t>Love, Inc.</t>
        </is>
      </c>
      <c r="C113" t="n">
        <v>0</v>
      </c>
      <c r="D113" t="n">
        <v>1</v>
      </c>
      <c r="E113" t="n">
        <v>0</v>
      </c>
      <c r="F113" t="n">
        <v>0</v>
      </c>
      <c r="G113" t="b">
        <v>0</v>
      </c>
      <c r="H113" t="n">
        <v>0</v>
      </c>
      <c r="I113" t="n">
        <v>0</v>
      </c>
      <c r="J113" t="n">
        <v>0</v>
      </c>
      <c r="K113" t="n">
        <v>0</v>
      </c>
      <c r="L113" t="n">
        <v>2</v>
      </c>
      <c r="M113" t="n">
        <v>0</v>
      </c>
      <c r="N113" t="n">
        <v>0</v>
      </c>
      <c r="O113" t="n">
        <v>1</v>
      </c>
      <c r="P113" s="7">
        <f>IF(SUM(H113:K113)=0,"",H113/SUM(H113:K113))</f>
        <v/>
      </c>
      <c r="Q113" s="7">
        <f>IF(SUM(H113:K113)=0,"",I113/SUM(H113:K113))</f>
        <v/>
      </c>
      <c r="R113" s="7">
        <f>IF(SUM(H113:K113)=0,"",J113/SUM(H113:K113))</f>
        <v/>
      </c>
      <c r="S113" s="7">
        <f>IF(SUM(H113:K113)=0,"",K113/SUM(H113:K113))</f>
        <v/>
      </c>
      <c r="T113" s="7">
        <f>IF(SUM(L113:O113)=0,"",L113/SUM(L113:O113))</f>
        <v/>
      </c>
      <c r="U113" s="7">
        <f>IF(SUM(L113:O113)=0,"",M113/SUM(L113:O113))</f>
        <v/>
      </c>
      <c r="V113" s="7">
        <f>IF(SUM(L113:O113)=0,"",N113/SUM(L113:O113))</f>
        <v/>
      </c>
      <c r="W113" s="7">
        <f>IF(SUM(L113:O113)=0,"",O113/SUM(L113:O113))</f>
        <v/>
      </c>
    </row>
    <row r="114">
      <c r="A114" t="n">
        <v>158</v>
      </c>
      <c r="B114" t="inlineStr">
        <is>
          <t>St. Gregory School</t>
        </is>
      </c>
      <c r="C114" t="n">
        <v>0</v>
      </c>
      <c r="D114" t="n">
        <v>1</v>
      </c>
      <c r="E114" t="n">
        <v>0</v>
      </c>
      <c r="F114" t="n">
        <v>0</v>
      </c>
      <c r="G114" t="b">
        <v>0</v>
      </c>
      <c r="H114" t="n">
        <v>0</v>
      </c>
      <c r="I114" t="n">
        <v>0</v>
      </c>
      <c r="J114" t="n">
        <v>0</v>
      </c>
      <c r="K114" t="n">
        <v>0</v>
      </c>
      <c r="L114" t="n">
        <v>2</v>
      </c>
      <c r="M114" t="n">
        <v>1</v>
      </c>
      <c r="N114" t="n">
        <v>0</v>
      </c>
      <c r="O114" t="n">
        <v>0</v>
      </c>
      <c r="P114" s="7">
        <f>IF(SUM(H114:K114)=0,"",H114/SUM(H114:K114))</f>
        <v/>
      </c>
      <c r="Q114" s="7">
        <f>IF(SUM(H114:K114)=0,"",I114/SUM(H114:K114))</f>
        <v/>
      </c>
      <c r="R114" s="7">
        <f>IF(SUM(H114:K114)=0,"",J114/SUM(H114:K114))</f>
        <v/>
      </c>
      <c r="S114" s="7">
        <f>IF(SUM(H114:K114)=0,"",K114/SUM(H114:K114))</f>
        <v/>
      </c>
      <c r="T114" s="7">
        <f>IF(SUM(L114:O114)=0,"",L114/SUM(L114:O114))</f>
        <v/>
      </c>
      <c r="U114" s="7">
        <f>IF(SUM(L114:O114)=0,"",M114/SUM(L114:O114))</f>
        <v/>
      </c>
      <c r="V114" s="7">
        <f>IF(SUM(L114:O114)=0,"",N114/SUM(L114:O114))</f>
        <v/>
      </c>
      <c r="W114" s="7">
        <f>IF(SUM(L114:O114)=0,"",O114/SUM(L114:O114))</f>
        <v/>
      </c>
    </row>
    <row r="115">
      <c r="A115" t="n">
        <v>159</v>
      </c>
      <c r="B115" t="inlineStr">
        <is>
          <t>United Neighborhood Facilities Health Care Co United Way of Erie County</t>
        </is>
      </c>
      <c r="C115" t="n">
        <v>0</v>
      </c>
      <c r="D115" t="n">
        <v>1</v>
      </c>
      <c r="E115" t="n">
        <v>0</v>
      </c>
      <c r="F115" t="n">
        <v>0</v>
      </c>
      <c r="G115" t="b">
        <v>0</v>
      </c>
      <c r="H115" t="n">
        <v>0</v>
      </c>
      <c r="I115" t="n">
        <v>0</v>
      </c>
      <c r="J115" t="n">
        <v>0</v>
      </c>
      <c r="K115" t="n">
        <v>0</v>
      </c>
      <c r="L115" t="n">
        <v>2</v>
      </c>
      <c r="M115" t="n">
        <v>0</v>
      </c>
      <c r="N115" t="n">
        <v>0</v>
      </c>
      <c r="O115" t="n">
        <v>1</v>
      </c>
      <c r="P115" s="7">
        <f>IF(SUM(H115:K115)=0,"",H115/SUM(H115:K115))</f>
        <v/>
      </c>
      <c r="Q115" s="7">
        <f>IF(SUM(H115:K115)=0,"",I115/SUM(H115:K115))</f>
        <v/>
      </c>
      <c r="R115" s="7">
        <f>IF(SUM(H115:K115)=0,"",J115/SUM(H115:K115))</f>
        <v/>
      </c>
      <c r="S115" s="7">
        <f>IF(SUM(H115:K115)=0,"",K115/SUM(H115:K115))</f>
        <v/>
      </c>
      <c r="T115" s="7">
        <f>IF(SUM(L115:O115)=0,"",L115/SUM(L115:O115))</f>
        <v/>
      </c>
      <c r="U115" s="7">
        <f>IF(SUM(L115:O115)=0,"",M115/SUM(L115:O115))</f>
        <v/>
      </c>
      <c r="V115" s="7">
        <f>IF(SUM(L115:O115)=0,"",N115/SUM(L115:O115))</f>
        <v/>
      </c>
      <c r="W115" s="7">
        <f>IF(SUM(L115:O115)=0,"",O115/SUM(L115:O115))</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B2:F9"/>
  <sheetViews>
    <sheetView workbookViewId="0">
      <selection activeCell="A1" sqref="A1"/>
    </sheetView>
  </sheetViews>
  <sheetFormatPr baseColWidth="8" defaultRowHeight="15"/>
  <cols>
    <col width="3" customWidth="1" min="1" max="1"/>
    <col width="30" customWidth="1" min="2" max="2"/>
    <col width="13" customWidth="1" min="3" max="3"/>
    <col width="9" customWidth="1" min="4" max="4"/>
    <col width="13" customWidth="1" min="5" max="5"/>
    <col width="9" customWidth="1" min="6" max="6"/>
  </cols>
  <sheetData>
    <row r="2">
      <c r="B2" s="1" t="inlineStr">
        <is>
          <t>Document-level totals — 25-1650208_2021</t>
        </is>
      </c>
    </row>
    <row r="4">
      <c r="B4" s="6" t="inlineStr">
        <is>
          <t>Logic</t>
        </is>
      </c>
      <c r="C4" s="6" t="inlineStr">
        <is>
          <t>Human points</t>
        </is>
      </c>
      <c r="D4" s="6" t="inlineStr">
        <is>
          <t>Human %</t>
        </is>
      </c>
      <c r="E4" s="6" t="inlineStr">
        <is>
          <t>AI points</t>
        </is>
      </c>
      <c r="F4" s="6" t="inlineStr">
        <is>
          <t>AI %</t>
        </is>
      </c>
    </row>
    <row r="5">
      <c r="B5" s="4" t="inlineStr">
        <is>
          <t>PS — Philanthropic Stewardship</t>
        </is>
      </c>
      <c r="C5">
        <f>SUMIFS('R3 Chunk-level'!H2:H115,'R3 Chunk-level'!G2:G115,TRUE)</f>
        <v/>
      </c>
      <c r="D5" s="7">
        <f>IF($C$9=0,"",C5/$C$9)</f>
        <v/>
      </c>
      <c r="E5">
        <f>SUMIFS('R3 Chunk-level'!L2:L115,'R3 Chunk-level'!G2:G115,TRUE)</f>
        <v/>
      </c>
      <c r="F5" s="7">
        <f>IF($E$9=0,"",E5/$E$9)</f>
        <v/>
      </c>
    </row>
    <row r="6">
      <c r="B6" s="4" t="inlineStr">
        <is>
          <t>DS — Donor Services</t>
        </is>
      </c>
      <c r="C6">
        <f>SUMIFS('R3 Chunk-level'!I2:I115,'R3 Chunk-level'!G2:G115,TRUE)</f>
        <v/>
      </c>
      <c r="D6" s="7">
        <f>IF($C$9=0,"",C6/$C$9)</f>
        <v/>
      </c>
      <c r="E6">
        <f>SUMIFS('R3 Chunk-level'!M2:M115,'R3 Chunk-level'!G2:G115,TRUE)</f>
        <v/>
      </c>
      <c r="F6" s="7">
        <f>IF($E$9=0,"",E6/$E$9)</f>
        <v/>
      </c>
    </row>
    <row r="7">
      <c r="B7" s="4" t="inlineStr">
        <is>
          <t>PPG — Public-Private Governance</t>
        </is>
      </c>
      <c r="C7">
        <f>SUMIFS('R3 Chunk-level'!J2:J115,'R3 Chunk-level'!G2:G115,TRUE)</f>
        <v/>
      </c>
      <c r="D7" s="7">
        <f>IF($C$9=0,"",C7/$C$9)</f>
        <v/>
      </c>
      <c r="E7">
        <f>SUMIFS('R3 Chunk-level'!N2:N115,'R3 Chunk-level'!G2:G115,TRUE)</f>
        <v/>
      </c>
      <c r="F7" s="7">
        <f>IF($E$9=0,"",E7/$E$9)</f>
        <v/>
      </c>
    </row>
    <row r="8">
      <c r="B8" s="4" t="inlineStr">
        <is>
          <t>SC — Social Change</t>
        </is>
      </c>
      <c r="C8">
        <f>SUMIFS('R3 Chunk-level'!K2:K115,'R3 Chunk-level'!G2:G115,TRUE)</f>
        <v/>
      </c>
      <c r="D8" s="7">
        <f>IF($C$9=0,"",C8/$C$9)</f>
        <v/>
      </c>
      <c r="E8">
        <f>SUMIFS('R3 Chunk-level'!O2:O115,'R3 Chunk-level'!G2:G115,TRUE)</f>
        <v/>
      </c>
      <c r="F8" s="7">
        <f>IF($E$9=0,"",E8/$E$9)</f>
        <v/>
      </c>
    </row>
    <row r="9">
      <c r="B9" s="3" t="inlineStr">
        <is>
          <t>Total</t>
        </is>
      </c>
      <c r="C9" s="3">
        <f>SUM(C5:C8)</f>
        <v/>
      </c>
      <c r="E9" s="3">
        <f>SUM(E5:E8)</f>
        <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33"/>
  <sheetViews>
    <sheetView workbookViewId="0">
      <pane ySplit="1" topLeftCell="A2" activePane="bottomLeft" state="frozen"/>
      <selection pane="bottomLeft" activeCell="A1" sqref="A1"/>
    </sheetView>
  </sheetViews>
  <sheetFormatPr baseColWidth="8" defaultRowHeight="15"/>
  <cols>
    <col width="10" customWidth="1" min="1" max="1"/>
    <col width="15" customWidth="1" min="2" max="2"/>
    <col width="10" customWidth="1" min="3" max="3"/>
    <col width="13" customWidth="1" min="4" max="4"/>
    <col width="9" customWidth="1" min="5" max="5"/>
    <col width="9" customWidth="1" min="6" max="6"/>
  </cols>
  <sheetData>
    <row r="1">
      <c r="A1" s="6" t="inlineStr">
        <is>
          <t>Chunk ID</t>
        </is>
      </c>
      <c r="B1" s="6" t="inlineStr">
        <is>
          <t>Human dominant</t>
        </is>
      </c>
      <c r="C1" s="6" t="inlineStr">
        <is>
          <t>Human tie?</t>
        </is>
      </c>
      <c r="D1" s="6" t="inlineStr">
        <is>
          <t>AI dominant</t>
        </is>
      </c>
      <c r="E1" s="6" t="inlineStr">
        <is>
          <t>AI tie?</t>
        </is>
      </c>
      <c r="F1" s="6" t="inlineStr">
        <is>
          <t>Match?</t>
        </is>
      </c>
    </row>
    <row r="2">
      <c r="A2" t="n">
        <v>1</v>
      </c>
      <c r="B2" t="inlineStr">
        <is>
          <t>PS</t>
        </is>
      </c>
      <c r="C2" t="b">
        <v>0</v>
      </c>
      <c r="D2" t="inlineStr">
        <is>
          <t>DS</t>
        </is>
      </c>
      <c r="E2" t="b">
        <v>0</v>
      </c>
      <c r="F2" t="b">
        <v>0</v>
      </c>
    </row>
    <row r="3">
      <c r="A3" t="n">
        <v>3</v>
      </c>
      <c r="B3" t="inlineStr">
        <is>
          <t>DS</t>
        </is>
      </c>
      <c r="C3" t="b">
        <v>0</v>
      </c>
      <c r="D3" t="inlineStr">
        <is>
          <t>PS</t>
        </is>
      </c>
      <c r="E3" t="b">
        <v>0</v>
      </c>
      <c r="F3" t="b">
        <v>0</v>
      </c>
    </row>
    <row r="4">
      <c r="A4" t="n">
        <v>4</v>
      </c>
      <c r="B4" t="inlineStr">
        <is>
          <t>PPG</t>
        </is>
      </c>
      <c r="C4" t="b">
        <v>0</v>
      </c>
      <c r="D4" t="inlineStr">
        <is>
          <t>PS</t>
        </is>
      </c>
      <c r="E4" t="b">
        <v>0</v>
      </c>
      <c r="F4" t="b">
        <v>0</v>
      </c>
    </row>
    <row r="5">
      <c r="A5" t="n">
        <v>6</v>
      </c>
      <c r="B5" t="inlineStr">
        <is>
          <t>DS</t>
        </is>
      </c>
      <c r="C5" t="b">
        <v>0</v>
      </c>
      <c r="D5" t="inlineStr">
        <is>
          <t>PS</t>
        </is>
      </c>
      <c r="E5" t="b">
        <v>0</v>
      </c>
      <c r="F5" t="b">
        <v>0</v>
      </c>
    </row>
    <row r="6">
      <c r="A6" t="n">
        <v>7</v>
      </c>
      <c r="B6" t="inlineStr">
        <is>
          <t>DS</t>
        </is>
      </c>
      <c r="C6" t="b">
        <v>0</v>
      </c>
      <c r="D6" t="inlineStr">
        <is>
          <t>DS</t>
        </is>
      </c>
      <c r="E6" t="b">
        <v>0</v>
      </c>
      <c r="F6" t="b">
        <v>1</v>
      </c>
    </row>
    <row r="7">
      <c r="A7" t="n">
        <v>9</v>
      </c>
      <c r="B7" t="inlineStr">
        <is>
          <t>DS</t>
        </is>
      </c>
      <c r="C7" t="b">
        <v>0</v>
      </c>
      <c r="D7" t="inlineStr">
        <is>
          <t>PS</t>
        </is>
      </c>
      <c r="E7" t="b">
        <v>1</v>
      </c>
      <c r="F7" t="b">
        <v>0</v>
      </c>
    </row>
    <row r="8">
      <c r="A8" t="n">
        <v>10</v>
      </c>
      <c r="B8" t="inlineStr">
        <is>
          <t>DS</t>
        </is>
      </c>
      <c r="C8" t="b">
        <v>0</v>
      </c>
      <c r="D8" t="inlineStr">
        <is>
          <t>PS</t>
        </is>
      </c>
      <c r="E8" t="b">
        <v>1</v>
      </c>
      <c r="F8" t="b">
        <v>0</v>
      </c>
    </row>
    <row r="9">
      <c r="A9" t="n">
        <v>13</v>
      </c>
      <c r="B9" t="inlineStr">
        <is>
          <t>DS</t>
        </is>
      </c>
      <c r="C9" t="b">
        <v>0</v>
      </c>
      <c r="D9" t="inlineStr">
        <is>
          <t>DS</t>
        </is>
      </c>
      <c r="E9" t="b">
        <v>0</v>
      </c>
      <c r="F9" t="b">
        <v>1</v>
      </c>
    </row>
    <row r="10">
      <c r="A10" t="n">
        <v>14</v>
      </c>
      <c r="B10" t="inlineStr">
        <is>
          <t>DS</t>
        </is>
      </c>
      <c r="C10" t="b">
        <v>0</v>
      </c>
      <c r="D10" t="inlineStr">
        <is>
          <t>DS</t>
        </is>
      </c>
      <c r="E10" t="b">
        <v>0</v>
      </c>
      <c r="F10" t="b">
        <v>1</v>
      </c>
    </row>
    <row r="11">
      <c r="A11" t="n">
        <v>16</v>
      </c>
      <c r="B11" t="inlineStr">
        <is>
          <t>DS</t>
        </is>
      </c>
      <c r="C11" t="b">
        <v>0</v>
      </c>
      <c r="D11" t="inlineStr">
        <is>
          <t>DS</t>
        </is>
      </c>
      <c r="E11" t="b">
        <v>0</v>
      </c>
      <c r="F11" t="b">
        <v>1</v>
      </c>
    </row>
    <row r="12">
      <c r="A12" t="n">
        <v>17</v>
      </c>
      <c r="B12" t="inlineStr">
        <is>
          <t>DS</t>
        </is>
      </c>
      <c r="C12" t="b">
        <v>0</v>
      </c>
      <c r="D12" t="inlineStr">
        <is>
          <t>DS</t>
        </is>
      </c>
      <c r="E12" t="b">
        <v>0</v>
      </c>
      <c r="F12" t="b">
        <v>1</v>
      </c>
    </row>
    <row r="13">
      <c r="A13" t="n">
        <v>21</v>
      </c>
      <c r="B13" t="inlineStr">
        <is>
          <t>PS</t>
        </is>
      </c>
      <c r="C13" t="b">
        <v>0</v>
      </c>
      <c r="D13" t="inlineStr">
        <is>
          <t>PS</t>
        </is>
      </c>
      <c r="E13" t="b">
        <v>0</v>
      </c>
      <c r="F13" t="b">
        <v>1</v>
      </c>
    </row>
    <row r="14">
      <c r="A14" t="n">
        <v>30</v>
      </c>
      <c r="B14" t="inlineStr">
        <is>
          <t>PPG</t>
        </is>
      </c>
      <c r="C14" t="b">
        <v>0</v>
      </c>
      <c r="D14" t="inlineStr">
        <is>
          <t>PS</t>
        </is>
      </c>
      <c r="E14" t="b">
        <v>0</v>
      </c>
      <c r="F14" t="b">
        <v>0</v>
      </c>
    </row>
    <row r="15">
      <c r="A15" t="n">
        <v>90</v>
      </c>
      <c r="B15" t="inlineStr">
        <is>
          <t>PS</t>
        </is>
      </c>
      <c r="C15" t="b">
        <v>0</v>
      </c>
      <c r="D15" t="inlineStr">
        <is>
          <t>PS</t>
        </is>
      </c>
      <c r="E15" t="b">
        <v>0</v>
      </c>
      <c r="F15" t="b">
        <v>1</v>
      </c>
    </row>
    <row r="16">
      <c r="A16" t="n">
        <v>93</v>
      </c>
      <c r="B16" t="inlineStr">
        <is>
          <t>PPG</t>
        </is>
      </c>
      <c r="C16" t="b">
        <v>0</v>
      </c>
      <c r="D16" t="inlineStr">
        <is>
          <t>PPG</t>
        </is>
      </c>
      <c r="E16" t="b">
        <v>0</v>
      </c>
      <c r="F16" t="b">
        <v>1</v>
      </c>
    </row>
    <row r="17">
      <c r="A17" t="n">
        <v>94</v>
      </c>
      <c r="B17" t="inlineStr">
        <is>
          <t>PPG</t>
        </is>
      </c>
      <c r="C17" t="b">
        <v>0</v>
      </c>
      <c r="D17" t="inlineStr">
        <is>
          <t>PPG</t>
        </is>
      </c>
      <c r="E17" t="b">
        <v>0</v>
      </c>
      <c r="F17" t="b">
        <v>1</v>
      </c>
    </row>
    <row r="18">
      <c r="A18" t="n">
        <v>95</v>
      </c>
      <c r="B18" t="inlineStr">
        <is>
          <t>PPG</t>
        </is>
      </c>
      <c r="C18" t="b">
        <v>0</v>
      </c>
      <c r="D18" t="inlineStr">
        <is>
          <t>PPG</t>
        </is>
      </c>
      <c r="E18" t="b">
        <v>0</v>
      </c>
      <c r="F18" t="b">
        <v>1</v>
      </c>
    </row>
    <row r="19">
      <c r="A19" t="n">
        <v>96</v>
      </c>
      <c r="B19" t="inlineStr">
        <is>
          <t>PPG</t>
        </is>
      </c>
      <c r="C19" t="b">
        <v>0</v>
      </c>
      <c r="D19" t="inlineStr">
        <is>
          <t>PPG</t>
        </is>
      </c>
      <c r="E19" t="b">
        <v>0</v>
      </c>
      <c r="F19" t="b">
        <v>1</v>
      </c>
    </row>
    <row r="20">
      <c r="A20" t="n">
        <v>97</v>
      </c>
      <c r="B20" t="inlineStr">
        <is>
          <t>PPG</t>
        </is>
      </c>
      <c r="C20" t="b">
        <v>0</v>
      </c>
      <c r="D20" t="inlineStr">
        <is>
          <t>PPG</t>
        </is>
      </c>
      <c r="E20" t="b">
        <v>0</v>
      </c>
      <c r="F20" t="b">
        <v>1</v>
      </c>
    </row>
    <row r="21">
      <c r="A21" t="n">
        <v>99</v>
      </c>
      <c r="B21" t="inlineStr">
        <is>
          <t>PPG</t>
        </is>
      </c>
      <c r="C21" t="b">
        <v>0</v>
      </c>
      <c r="D21" t="inlineStr">
        <is>
          <t>PS</t>
        </is>
      </c>
      <c r="E21" t="b">
        <v>1</v>
      </c>
      <c r="F21" t="b">
        <v>0</v>
      </c>
    </row>
    <row r="22">
      <c r="A22" t="n">
        <v>101</v>
      </c>
      <c r="B22" t="inlineStr">
        <is>
          <t>PPG</t>
        </is>
      </c>
      <c r="C22" t="b">
        <v>0</v>
      </c>
      <c r="D22" t="inlineStr">
        <is>
          <t>PPG</t>
        </is>
      </c>
      <c r="E22" t="b">
        <v>0</v>
      </c>
      <c r="F22" t="b">
        <v>1</v>
      </c>
    </row>
    <row r="23">
      <c r="A23" t="n">
        <v>103</v>
      </c>
      <c r="B23" t="inlineStr">
        <is>
          <t>PPG</t>
        </is>
      </c>
      <c r="C23" t="b">
        <v>0</v>
      </c>
      <c r="D23" t="inlineStr">
        <is>
          <t>PS</t>
        </is>
      </c>
      <c r="E23" t="b">
        <v>0</v>
      </c>
      <c r="F23" t="b">
        <v>0</v>
      </c>
    </row>
    <row r="24">
      <c r="A24" t="n">
        <v>117</v>
      </c>
      <c r="B24" t="inlineStr">
        <is>
          <t>PPG</t>
        </is>
      </c>
      <c r="C24" t="b">
        <v>0</v>
      </c>
      <c r="D24" t="inlineStr">
        <is>
          <t>PPG</t>
        </is>
      </c>
      <c r="E24" t="b">
        <v>0</v>
      </c>
      <c r="F24" t="b">
        <v>1</v>
      </c>
    </row>
    <row r="25">
      <c r="A25" t="n">
        <v>121</v>
      </c>
      <c r="B25" t="inlineStr">
        <is>
          <t>PPG</t>
        </is>
      </c>
      <c r="C25" t="b">
        <v>0</v>
      </c>
      <c r="D25" t="inlineStr">
        <is>
          <t>PS</t>
        </is>
      </c>
      <c r="E25" t="b">
        <v>0</v>
      </c>
      <c r="F25" t="b">
        <v>0</v>
      </c>
    </row>
    <row r="26">
      <c r="A26" t="n">
        <v>122</v>
      </c>
      <c r="B26" t="inlineStr">
        <is>
          <t>PS</t>
        </is>
      </c>
      <c r="C26" t="b">
        <v>0</v>
      </c>
      <c r="D26" t="inlineStr">
        <is>
          <t>PS</t>
        </is>
      </c>
      <c r="E26" t="b">
        <v>0</v>
      </c>
      <c r="F26" t="b">
        <v>1</v>
      </c>
    </row>
    <row r="27">
      <c r="A27" t="n">
        <v>123</v>
      </c>
      <c r="B27" t="inlineStr">
        <is>
          <t>PS</t>
        </is>
      </c>
      <c r="C27" t="b">
        <v>0</v>
      </c>
      <c r="D27" t="inlineStr">
        <is>
          <t>PS</t>
        </is>
      </c>
      <c r="E27" t="b">
        <v>0</v>
      </c>
      <c r="F27" t="b">
        <v>1</v>
      </c>
    </row>
    <row r="28">
      <c r="A28" t="n">
        <v>124</v>
      </c>
      <c r="B28" t="inlineStr">
        <is>
          <t>PPG</t>
        </is>
      </c>
      <c r="C28" t="b">
        <v>0</v>
      </c>
      <c r="D28" t="inlineStr">
        <is>
          <t>PPG</t>
        </is>
      </c>
      <c r="E28" t="b">
        <v>1</v>
      </c>
      <c r="F28" t="b">
        <v>1</v>
      </c>
    </row>
    <row r="29">
      <c r="A29" t="n">
        <v>125</v>
      </c>
      <c r="B29" t="inlineStr">
        <is>
          <t>PPG</t>
        </is>
      </c>
      <c r="C29" t="b">
        <v>0</v>
      </c>
      <c r="D29" t="inlineStr">
        <is>
          <t>PPG</t>
        </is>
      </c>
      <c r="E29" t="b">
        <v>0</v>
      </c>
      <c r="F29" t="b">
        <v>1</v>
      </c>
    </row>
    <row r="30">
      <c r="A30" t="n">
        <v>126</v>
      </c>
      <c r="B30" t="inlineStr">
        <is>
          <t>PS</t>
        </is>
      </c>
      <c r="C30" t="b">
        <v>0</v>
      </c>
      <c r="D30" t="inlineStr">
        <is>
          <t>PS</t>
        </is>
      </c>
      <c r="E30" t="b">
        <v>0</v>
      </c>
      <c r="F30" t="b">
        <v>1</v>
      </c>
    </row>
    <row r="31">
      <c r="A31" t="n">
        <v>127</v>
      </c>
      <c r="B31" t="inlineStr">
        <is>
          <t>PPG</t>
        </is>
      </c>
      <c r="C31" t="b">
        <v>0</v>
      </c>
      <c r="D31" t="inlineStr">
        <is>
          <t>PS</t>
        </is>
      </c>
      <c r="E31" t="b">
        <v>0</v>
      </c>
      <c r="F31" t="b">
        <v>0</v>
      </c>
    </row>
    <row r="32">
      <c r="A32" t="n">
        <v>128</v>
      </c>
      <c r="B32" t="inlineStr">
        <is>
          <t>PPG</t>
        </is>
      </c>
      <c r="C32" t="b">
        <v>0</v>
      </c>
      <c r="D32" t="inlineStr">
        <is>
          <t>PS</t>
        </is>
      </c>
      <c r="E32" t="b">
        <v>0</v>
      </c>
      <c r="F32" t="b">
        <v>0</v>
      </c>
    </row>
    <row r="33">
      <c r="A33" t="n">
        <v>131</v>
      </c>
      <c r="B33" t="inlineStr">
        <is>
          <t>PS</t>
        </is>
      </c>
      <c r="C33" t="b">
        <v>0</v>
      </c>
      <c r="D33" t="inlineStr">
        <is>
          <t>PS</t>
        </is>
      </c>
      <c r="E33" t="b">
        <v>0</v>
      </c>
      <c r="F33" t="b">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B2:G90"/>
  <sheetViews>
    <sheetView workbookViewId="0">
      <selection activeCell="A1" sqref="A1"/>
    </sheetView>
  </sheetViews>
  <sheetFormatPr baseColWidth="8" defaultRowHeight="15"/>
  <cols>
    <col width="3" customWidth="1" min="1" max="1"/>
    <col width="36" customWidth="1" min="2" max="2"/>
    <col width="11" customWidth="1" min="3" max="3"/>
    <col width="11" customWidth="1" min="4" max="4"/>
    <col width="11" customWidth="1" min="5" max="5"/>
    <col width="11" customWidth="1" min="6" max="6"/>
    <col width="12" customWidth="1" min="7" max="7"/>
  </cols>
  <sheetData>
    <row r="2">
      <c r="B2" s="1" t="inlineStr">
        <is>
          <t>Chunk-level agreement — 25-1650208_2021</t>
        </is>
      </c>
    </row>
    <row r="3">
      <c r="B3" s="2" t="inlineStr">
        <is>
          <t>N=32 chunks coded by both coders. Ties: 0 human, 4 AI (broken PS&gt;DS&gt;PPG&gt;SC).</t>
        </is>
      </c>
    </row>
    <row r="7">
      <c r="B7" s="3" t="inlineStr">
        <is>
          <t>A. Full sample</t>
        </is>
      </c>
    </row>
    <row r="8">
      <c r="C8" s="6" t="inlineStr">
        <is>
          <t>AI: PS</t>
        </is>
      </c>
      <c r="D8" s="6" t="inlineStr">
        <is>
          <t>AI: DS</t>
        </is>
      </c>
      <c r="E8" s="6" t="inlineStr">
        <is>
          <t>AI: PPG</t>
        </is>
      </c>
      <c r="F8" s="6" t="inlineStr">
        <is>
          <t>AI: SC</t>
        </is>
      </c>
      <c r="G8" s="6" t="inlineStr">
        <is>
          <t>Row total</t>
        </is>
      </c>
    </row>
    <row r="9">
      <c r="B9" s="4" t="inlineStr">
        <is>
          <t>Human: PS</t>
        </is>
      </c>
      <c r="C9">
        <f>COUNTIFS('R3 Chunk Dominant'!$B$2:$B$33,"PS",'R3 Chunk Dominant'!$D$2:$D$33,"PS")</f>
        <v/>
      </c>
      <c r="D9">
        <f>COUNTIFS('R3 Chunk Dominant'!$B$2:$B$33,"PS",'R3 Chunk Dominant'!$D$2:$D$33,"DS")</f>
        <v/>
      </c>
      <c r="E9">
        <f>COUNTIFS('R3 Chunk Dominant'!$B$2:$B$33,"PS",'R3 Chunk Dominant'!$D$2:$D$33,"PPG")</f>
        <v/>
      </c>
      <c r="F9">
        <f>COUNTIFS('R3 Chunk Dominant'!$B$2:$B$33,"PS",'R3 Chunk Dominant'!$D$2:$D$33,"SC")</f>
        <v/>
      </c>
      <c r="G9">
        <f>SUM(C9:F9)</f>
        <v/>
      </c>
    </row>
    <row r="10">
      <c r="B10" s="4" t="inlineStr">
        <is>
          <t>Human: DS</t>
        </is>
      </c>
      <c r="C10">
        <f>COUNTIFS('R3 Chunk Dominant'!$B$2:$B$33,"DS",'R3 Chunk Dominant'!$D$2:$D$33,"PS")</f>
        <v/>
      </c>
      <c r="D10">
        <f>COUNTIFS('R3 Chunk Dominant'!$B$2:$B$33,"DS",'R3 Chunk Dominant'!$D$2:$D$33,"DS")</f>
        <v/>
      </c>
      <c r="E10">
        <f>COUNTIFS('R3 Chunk Dominant'!$B$2:$B$33,"DS",'R3 Chunk Dominant'!$D$2:$D$33,"PPG")</f>
        <v/>
      </c>
      <c r="F10">
        <f>COUNTIFS('R3 Chunk Dominant'!$B$2:$B$33,"DS",'R3 Chunk Dominant'!$D$2:$D$33,"SC")</f>
        <v/>
      </c>
      <c r="G10">
        <f>SUM(C10:F10)</f>
        <v/>
      </c>
    </row>
    <row r="11">
      <c r="B11" s="4" t="inlineStr">
        <is>
          <t>Human: PPG</t>
        </is>
      </c>
      <c r="C11">
        <f>COUNTIFS('R3 Chunk Dominant'!$B$2:$B$33,"PPG",'R3 Chunk Dominant'!$D$2:$D$33,"PS")</f>
        <v/>
      </c>
      <c r="D11">
        <f>COUNTIFS('R3 Chunk Dominant'!$B$2:$B$33,"PPG",'R3 Chunk Dominant'!$D$2:$D$33,"DS")</f>
        <v/>
      </c>
      <c r="E11">
        <f>COUNTIFS('R3 Chunk Dominant'!$B$2:$B$33,"PPG",'R3 Chunk Dominant'!$D$2:$D$33,"PPG")</f>
        <v/>
      </c>
      <c r="F11">
        <f>COUNTIFS('R3 Chunk Dominant'!$B$2:$B$33,"PPG",'R3 Chunk Dominant'!$D$2:$D$33,"SC")</f>
        <v/>
      </c>
      <c r="G11">
        <f>SUM(C11:F11)</f>
        <v/>
      </c>
    </row>
    <row r="12">
      <c r="B12" s="4" t="inlineStr">
        <is>
          <t>Human: SC</t>
        </is>
      </c>
      <c r="C12">
        <f>COUNTIFS('R3 Chunk Dominant'!$B$2:$B$33,"SC",'R3 Chunk Dominant'!$D$2:$D$33,"PS")</f>
        <v/>
      </c>
      <c r="D12">
        <f>COUNTIFS('R3 Chunk Dominant'!$B$2:$B$33,"SC",'R3 Chunk Dominant'!$D$2:$D$33,"DS")</f>
        <v/>
      </c>
      <c r="E12">
        <f>COUNTIFS('R3 Chunk Dominant'!$B$2:$B$33,"SC",'R3 Chunk Dominant'!$D$2:$D$33,"PPG")</f>
        <v/>
      </c>
      <c r="F12">
        <f>COUNTIFS('R3 Chunk Dominant'!$B$2:$B$33,"SC",'R3 Chunk Dominant'!$D$2:$D$33,"SC")</f>
        <v/>
      </c>
      <c r="G12">
        <f>SUM(C12:F12)</f>
        <v/>
      </c>
    </row>
    <row r="13">
      <c r="B13" s="3" t="inlineStr">
        <is>
          <t>Col total</t>
        </is>
      </c>
      <c r="C13">
        <f>SUM(C9:C12)</f>
        <v/>
      </c>
      <c r="D13">
        <f>SUM(D9:D12)</f>
        <v/>
      </c>
      <c r="E13">
        <f>SUM(E9:E12)</f>
        <v/>
      </c>
      <c r="F13">
        <f>SUM(F9:F12)</f>
        <v/>
      </c>
      <c r="G13">
        <f>SUM(G9:G12)</f>
        <v/>
      </c>
    </row>
    <row r="15">
      <c r="B15" s="4" t="inlineStr">
        <is>
          <t>Expected under independence</t>
        </is>
      </c>
    </row>
    <row r="16">
      <c r="C16">
        <f>$G9*C$13/$G$13</f>
        <v/>
      </c>
      <c r="D16">
        <f>$G9*D$13/$G$13</f>
        <v/>
      </c>
      <c r="E16">
        <f>$G9*E$13/$G$13</f>
        <v/>
      </c>
      <c r="F16">
        <f>$G9*F$13/$G$13</f>
        <v/>
      </c>
    </row>
    <row r="17">
      <c r="C17">
        <f>$G10*C$13/$G$13</f>
        <v/>
      </c>
      <c r="D17">
        <f>$G10*D$13/$G$13</f>
        <v/>
      </c>
      <c r="E17">
        <f>$G10*E$13/$G$13</f>
        <v/>
      </c>
      <c r="F17">
        <f>$G10*F$13/$G$13</f>
        <v/>
      </c>
    </row>
    <row r="18">
      <c r="C18">
        <f>$G11*C$13/$G$13</f>
        <v/>
      </c>
      <c r="D18">
        <f>$G11*D$13/$G$13</f>
        <v/>
      </c>
      <c r="E18">
        <f>$G11*E$13/$G$13</f>
        <v/>
      </c>
      <c r="F18">
        <f>$G11*F$13/$G$13</f>
        <v/>
      </c>
    </row>
    <row r="19">
      <c r="C19">
        <f>$G12*C$13/$G$13</f>
        <v/>
      </c>
      <c r="D19">
        <f>$G12*D$13/$G$13</f>
        <v/>
      </c>
      <c r="E19">
        <f>$G12*E$13/$G$13</f>
        <v/>
      </c>
      <c r="F19">
        <f>$G12*F$13/$G$13</f>
        <v/>
      </c>
    </row>
    <row r="21">
      <c r="B21" s="4" t="inlineStr">
        <is>
          <t>Raw agreement (% chunks, matching dominant logic)</t>
        </is>
      </c>
      <c r="G21" s="7">
        <f>(C9+D10+E11+F12)/G13</f>
        <v/>
      </c>
    </row>
    <row r="22">
      <c r="B22" s="9" t="inlineStr">
        <is>
          <t>PS/DS/PPG/SC are NOMINAL categories (no established ordering), so every off-diagonal mismatch is weighted equally.</t>
        </is>
      </c>
    </row>
    <row r="23">
      <c r="B23" s="3" t="inlineStr">
        <is>
          <t>PRIMARY — standard (nominal, unweighted) Cohen’s kappa</t>
        </is>
      </c>
    </row>
    <row r="24">
      <c r="C24" t="n">
        <v>0</v>
      </c>
      <c r="D24" t="n">
        <v>1</v>
      </c>
      <c r="E24" t="n">
        <v>1</v>
      </c>
      <c r="F24" t="n">
        <v>1</v>
      </c>
    </row>
    <row r="25">
      <c r="C25" t="n">
        <v>1</v>
      </c>
      <c r="D25" t="n">
        <v>0</v>
      </c>
      <c r="E25" t="n">
        <v>1</v>
      </c>
      <c r="F25" t="n">
        <v>1</v>
      </c>
    </row>
    <row r="26">
      <c r="C26" t="n">
        <v>1</v>
      </c>
      <c r="D26" t="n">
        <v>1</v>
      </c>
      <c r="E26" t="n">
        <v>0</v>
      </c>
      <c r="F26" t="n">
        <v>1</v>
      </c>
    </row>
    <row r="27">
      <c r="C27" t="n">
        <v>1</v>
      </c>
      <c r="D27" t="n">
        <v>1</v>
      </c>
      <c r="E27" t="n">
        <v>1</v>
      </c>
      <c r="F27" t="n">
        <v>0</v>
      </c>
    </row>
    <row r="29">
      <c r="B29" s="3" t="inlineStr">
        <is>
          <t>Kappa</t>
        </is>
      </c>
      <c r="G29" s="8">
        <f>1-SUMPRODUCT(C24:F27,C9:F12)/SUMPRODUCT(C24:F27,C16:F19)</f>
        <v/>
      </c>
    </row>
    <row r="32">
      <c r="B32" s="3" t="inlineStr">
        <is>
          <t>RETIRED — quadratic ordinal weights (i−j)² — assumed PS&lt;DS&lt;PPG&lt;SC, no theoretical basis; kept only for comparison to the earlier version of this analysis</t>
        </is>
      </c>
    </row>
    <row r="33">
      <c r="C33" t="n">
        <v>0</v>
      </c>
      <c r="D33" t="n">
        <v>1</v>
      </c>
      <c r="E33" t="n">
        <v>4</v>
      </c>
      <c r="F33" t="n">
        <v>9</v>
      </c>
    </row>
    <row r="34">
      <c r="C34" t="n">
        <v>1</v>
      </c>
      <c r="D34" t="n">
        <v>0</v>
      </c>
      <c r="E34" t="n">
        <v>1</v>
      </c>
      <c r="F34" t="n">
        <v>4</v>
      </c>
    </row>
    <row r="35">
      <c r="C35" t="n">
        <v>4</v>
      </c>
      <c r="D35" t="n">
        <v>1</v>
      </c>
      <c r="E35" t="n">
        <v>0</v>
      </c>
      <c r="F35" t="n">
        <v>1</v>
      </c>
    </row>
    <row r="36">
      <c r="C36" t="n">
        <v>9</v>
      </c>
      <c r="D36" t="n">
        <v>4</v>
      </c>
      <c r="E36" t="n">
        <v>1</v>
      </c>
      <c r="F36" t="n">
        <v>0</v>
      </c>
    </row>
    <row r="38">
      <c r="B38" s="3" t="inlineStr">
        <is>
          <t>Kappa</t>
        </is>
      </c>
      <c r="G38" s="4">
        <f>1-SUMPRODUCT(C33:F36,C9:F12)/SUMPRODUCT(C33:F36,C16:F19)</f>
        <v/>
      </c>
    </row>
    <row r="41">
      <c r="B41" s="3" t="inlineStr">
        <is>
          <t>RETIRED — linear ordinal weights |i−j| — same caveat as above</t>
        </is>
      </c>
    </row>
    <row r="42">
      <c r="C42" t="n">
        <v>0</v>
      </c>
      <c r="D42" t="n">
        <v>1</v>
      </c>
      <c r="E42" t="n">
        <v>2</v>
      </c>
      <c r="F42" t="n">
        <v>3</v>
      </c>
    </row>
    <row r="43">
      <c r="C43" t="n">
        <v>1</v>
      </c>
      <c r="D43" t="n">
        <v>0</v>
      </c>
      <c r="E43" t="n">
        <v>1</v>
      </c>
      <c r="F43" t="n">
        <v>2</v>
      </c>
    </row>
    <row r="44">
      <c r="C44" t="n">
        <v>2</v>
      </c>
      <c r="D44" t="n">
        <v>1</v>
      </c>
      <c r="E44" t="n">
        <v>0</v>
      </c>
      <c r="F44" t="n">
        <v>1</v>
      </c>
    </row>
    <row r="45">
      <c r="C45" t="n">
        <v>3</v>
      </c>
      <c r="D45" t="n">
        <v>2</v>
      </c>
      <c r="E45" t="n">
        <v>1</v>
      </c>
      <c r="F45" t="n">
        <v>0</v>
      </c>
    </row>
    <row r="47">
      <c r="B47" s="3" t="inlineStr">
        <is>
          <t>Kappa</t>
        </is>
      </c>
      <c r="G47" s="4">
        <f>1-SUMPRODUCT(C42:F45,C9:F12)/SUMPRODUCT(C42:F45,C16:F19)</f>
        <v/>
      </c>
    </row>
    <row r="50">
      <c r="B50" s="3" t="inlineStr">
        <is>
          <t>B. Sensitivity — ties excluded</t>
        </is>
      </c>
    </row>
    <row r="51">
      <c r="C51" s="6" t="inlineStr">
        <is>
          <t>AI: PS</t>
        </is>
      </c>
      <c r="D51" s="6" t="inlineStr">
        <is>
          <t>AI: DS</t>
        </is>
      </c>
      <c r="E51" s="6" t="inlineStr">
        <is>
          <t>AI: PPG</t>
        </is>
      </c>
      <c r="F51" s="6" t="inlineStr">
        <is>
          <t>AI: SC</t>
        </is>
      </c>
      <c r="G51" s="6" t="inlineStr">
        <is>
          <t>Row total</t>
        </is>
      </c>
    </row>
    <row r="52">
      <c r="B52" s="4" t="inlineStr">
        <is>
          <t>Human: PS</t>
        </is>
      </c>
      <c r="C52">
        <f>COUNTIFS('R3 Chunk Dominant'!$B$2:$B$33,"PS",'R3 Chunk Dominant'!$D$2:$D$33,"PS",'R3 Chunk Dominant'!$C$2:$C$33,FALSE,'R3 Chunk Dominant'!$E$2:$E$33,FALSE)</f>
        <v/>
      </c>
      <c r="D52">
        <f>COUNTIFS('R3 Chunk Dominant'!$B$2:$B$33,"PS",'R3 Chunk Dominant'!$D$2:$D$33,"DS",'R3 Chunk Dominant'!$C$2:$C$33,FALSE,'R3 Chunk Dominant'!$E$2:$E$33,FALSE)</f>
        <v/>
      </c>
      <c r="E52">
        <f>COUNTIFS('R3 Chunk Dominant'!$B$2:$B$33,"PS",'R3 Chunk Dominant'!$D$2:$D$33,"PPG",'R3 Chunk Dominant'!$C$2:$C$33,FALSE,'R3 Chunk Dominant'!$E$2:$E$33,FALSE)</f>
        <v/>
      </c>
      <c r="F52">
        <f>COUNTIFS('R3 Chunk Dominant'!$B$2:$B$33,"PS",'R3 Chunk Dominant'!$D$2:$D$33,"SC",'R3 Chunk Dominant'!$C$2:$C$33,FALSE,'R3 Chunk Dominant'!$E$2:$E$33,FALSE)</f>
        <v/>
      </c>
      <c r="G52">
        <f>SUM(C52:F52)</f>
        <v/>
      </c>
    </row>
    <row r="53">
      <c r="B53" s="4" t="inlineStr">
        <is>
          <t>Human: DS</t>
        </is>
      </c>
      <c r="C53">
        <f>COUNTIFS('R3 Chunk Dominant'!$B$2:$B$33,"DS",'R3 Chunk Dominant'!$D$2:$D$33,"PS",'R3 Chunk Dominant'!$C$2:$C$33,FALSE,'R3 Chunk Dominant'!$E$2:$E$33,FALSE)</f>
        <v/>
      </c>
      <c r="D53">
        <f>COUNTIFS('R3 Chunk Dominant'!$B$2:$B$33,"DS",'R3 Chunk Dominant'!$D$2:$D$33,"DS",'R3 Chunk Dominant'!$C$2:$C$33,FALSE,'R3 Chunk Dominant'!$E$2:$E$33,FALSE)</f>
        <v/>
      </c>
      <c r="E53">
        <f>COUNTIFS('R3 Chunk Dominant'!$B$2:$B$33,"DS",'R3 Chunk Dominant'!$D$2:$D$33,"PPG",'R3 Chunk Dominant'!$C$2:$C$33,FALSE,'R3 Chunk Dominant'!$E$2:$E$33,FALSE)</f>
        <v/>
      </c>
      <c r="F53">
        <f>COUNTIFS('R3 Chunk Dominant'!$B$2:$B$33,"DS",'R3 Chunk Dominant'!$D$2:$D$33,"SC",'R3 Chunk Dominant'!$C$2:$C$33,FALSE,'R3 Chunk Dominant'!$E$2:$E$33,FALSE)</f>
        <v/>
      </c>
      <c r="G53">
        <f>SUM(C53:F53)</f>
        <v/>
      </c>
    </row>
    <row r="54">
      <c r="B54" s="4" t="inlineStr">
        <is>
          <t>Human: PPG</t>
        </is>
      </c>
      <c r="C54">
        <f>COUNTIFS('R3 Chunk Dominant'!$B$2:$B$33,"PPG",'R3 Chunk Dominant'!$D$2:$D$33,"PS",'R3 Chunk Dominant'!$C$2:$C$33,FALSE,'R3 Chunk Dominant'!$E$2:$E$33,FALSE)</f>
        <v/>
      </c>
      <c r="D54">
        <f>COUNTIFS('R3 Chunk Dominant'!$B$2:$B$33,"PPG",'R3 Chunk Dominant'!$D$2:$D$33,"DS",'R3 Chunk Dominant'!$C$2:$C$33,FALSE,'R3 Chunk Dominant'!$E$2:$E$33,FALSE)</f>
        <v/>
      </c>
      <c r="E54">
        <f>COUNTIFS('R3 Chunk Dominant'!$B$2:$B$33,"PPG",'R3 Chunk Dominant'!$D$2:$D$33,"PPG",'R3 Chunk Dominant'!$C$2:$C$33,FALSE,'R3 Chunk Dominant'!$E$2:$E$33,FALSE)</f>
        <v/>
      </c>
      <c r="F54">
        <f>COUNTIFS('R3 Chunk Dominant'!$B$2:$B$33,"PPG",'R3 Chunk Dominant'!$D$2:$D$33,"SC",'R3 Chunk Dominant'!$C$2:$C$33,FALSE,'R3 Chunk Dominant'!$E$2:$E$33,FALSE)</f>
        <v/>
      </c>
      <c r="G54">
        <f>SUM(C54:F54)</f>
        <v/>
      </c>
    </row>
    <row r="55">
      <c r="B55" s="4" t="inlineStr">
        <is>
          <t>Human: SC</t>
        </is>
      </c>
      <c r="C55">
        <f>COUNTIFS('R3 Chunk Dominant'!$B$2:$B$33,"SC",'R3 Chunk Dominant'!$D$2:$D$33,"PS",'R3 Chunk Dominant'!$C$2:$C$33,FALSE,'R3 Chunk Dominant'!$E$2:$E$33,FALSE)</f>
        <v/>
      </c>
      <c r="D55">
        <f>COUNTIFS('R3 Chunk Dominant'!$B$2:$B$33,"SC",'R3 Chunk Dominant'!$D$2:$D$33,"DS",'R3 Chunk Dominant'!$C$2:$C$33,FALSE,'R3 Chunk Dominant'!$E$2:$E$33,FALSE)</f>
        <v/>
      </c>
      <c r="E55">
        <f>COUNTIFS('R3 Chunk Dominant'!$B$2:$B$33,"SC",'R3 Chunk Dominant'!$D$2:$D$33,"PPG",'R3 Chunk Dominant'!$C$2:$C$33,FALSE,'R3 Chunk Dominant'!$E$2:$E$33,FALSE)</f>
        <v/>
      </c>
      <c r="F55">
        <f>COUNTIFS('R3 Chunk Dominant'!$B$2:$B$33,"SC",'R3 Chunk Dominant'!$D$2:$D$33,"SC",'R3 Chunk Dominant'!$C$2:$C$33,FALSE,'R3 Chunk Dominant'!$E$2:$E$33,FALSE)</f>
        <v/>
      </c>
      <c r="G55">
        <f>SUM(C55:F55)</f>
        <v/>
      </c>
    </row>
    <row r="56">
      <c r="B56" s="3" t="inlineStr">
        <is>
          <t>Col total</t>
        </is>
      </c>
      <c r="C56">
        <f>SUM(C52:C55)</f>
        <v/>
      </c>
      <c r="D56">
        <f>SUM(D52:D55)</f>
        <v/>
      </c>
      <c r="E56">
        <f>SUM(E52:E55)</f>
        <v/>
      </c>
      <c r="F56">
        <f>SUM(F52:F55)</f>
        <v/>
      </c>
      <c r="G56">
        <f>SUM(G52:G55)</f>
        <v/>
      </c>
    </row>
    <row r="58">
      <c r="B58" s="4" t="inlineStr">
        <is>
          <t>Expected under independence</t>
        </is>
      </c>
    </row>
    <row r="59">
      <c r="C59">
        <f>$G52*C$56/$G$56</f>
        <v/>
      </c>
      <c r="D59">
        <f>$G52*D$56/$G$56</f>
        <v/>
      </c>
      <c r="E59">
        <f>$G52*E$56/$G$56</f>
        <v/>
      </c>
      <c r="F59">
        <f>$G52*F$56/$G$56</f>
        <v/>
      </c>
    </row>
    <row r="60">
      <c r="C60">
        <f>$G53*C$56/$G$56</f>
        <v/>
      </c>
      <c r="D60">
        <f>$G53*D$56/$G$56</f>
        <v/>
      </c>
      <c r="E60">
        <f>$G53*E$56/$G$56</f>
        <v/>
      </c>
      <c r="F60">
        <f>$G53*F$56/$G$56</f>
        <v/>
      </c>
    </row>
    <row r="61">
      <c r="C61">
        <f>$G54*C$56/$G$56</f>
        <v/>
      </c>
      <c r="D61">
        <f>$G54*D$56/$G$56</f>
        <v/>
      </c>
      <c r="E61">
        <f>$G54*E$56/$G$56</f>
        <v/>
      </c>
      <c r="F61">
        <f>$G54*F$56/$G$56</f>
        <v/>
      </c>
    </row>
    <row r="62">
      <c r="C62">
        <f>$G55*C$56/$G$56</f>
        <v/>
      </c>
      <c r="D62">
        <f>$G55*D$56/$G$56</f>
        <v/>
      </c>
      <c r="E62">
        <f>$G55*E$56/$G$56</f>
        <v/>
      </c>
      <c r="F62">
        <f>$G55*F$56/$G$56</f>
        <v/>
      </c>
    </row>
    <row r="64">
      <c r="B64" s="4" t="inlineStr">
        <is>
          <t>Raw agreement (% chunks, matching dominant logic)</t>
        </is>
      </c>
      <c r="G64" s="7">
        <f>(C52+D53+E54+F55)/G56</f>
        <v/>
      </c>
    </row>
    <row r="65">
      <c r="B65" s="9" t="inlineStr">
        <is>
          <t>PS/DS/PPG/SC are NOMINAL categories (no established ordering), so every off-diagonal mismatch is weighted equally.</t>
        </is>
      </c>
    </row>
    <row r="66">
      <c r="B66" s="3" t="inlineStr">
        <is>
          <t>PRIMARY — standard (nominal, unweighted) Cohen’s kappa</t>
        </is>
      </c>
    </row>
    <row r="67">
      <c r="C67" t="n">
        <v>0</v>
      </c>
      <c r="D67" t="n">
        <v>1</v>
      </c>
      <c r="E67" t="n">
        <v>1</v>
      </c>
      <c r="F67" t="n">
        <v>1</v>
      </c>
    </row>
    <row r="68">
      <c r="C68" t="n">
        <v>1</v>
      </c>
      <c r="D68" t="n">
        <v>0</v>
      </c>
      <c r="E68" t="n">
        <v>1</v>
      </c>
      <c r="F68" t="n">
        <v>1</v>
      </c>
    </row>
    <row r="69">
      <c r="C69" t="n">
        <v>1</v>
      </c>
      <c r="D69" t="n">
        <v>1</v>
      </c>
      <c r="E69" t="n">
        <v>0</v>
      </c>
      <c r="F69" t="n">
        <v>1</v>
      </c>
    </row>
    <row r="70">
      <c r="C70" t="n">
        <v>1</v>
      </c>
      <c r="D70" t="n">
        <v>1</v>
      </c>
      <c r="E70" t="n">
        <v>1</v>
      </c>
      <c r="F70" t="n">
        <v>0</v>
      </c>
    </row>
    <row r="72">
      <c r="B72" s="3" t="inlineStr">
        <is>
          <t>Kappa</t>
        </is>
      </c>
      <c r="G72" s="8">
        <f>1-SUMPRODUCT(C67:F70,C52:F55)/SUMPRODUCT(C67:F70,C59:F62)</f>
        <v/>
      </c>
    </row>
    <row r="75">
      <c r="B75" s="3" t="inlineStr">
        <is>
          <t>RETIRED — quadratic ordinal weights (i−j)² — assumed PS&lt;DS&lt;PPG&lt;SC, no theoretical basis; kept only for comparison to the earlier version of this analysis</t>
        </is>
      </c>
    </row>
    <row r="76">
      <c r="C76" t="n">
        <v>0</v>
      </c>
      <c r="D76" t="n">
        <v>1</v>
      </c>
      <c r="E76" t="n">
        <v>4</v>
      </c>
      <c r="F76" t="n">
        <v>9</v>
      </c>
    </row>
    <row r="77">
      <c r="C77" t="n">
        <v>1</v>
      </c>
      <c r="D77" t="n">
        <v>0</v>
      </c>
      <c r="E77" t="n">
        <v>1</v>
      </c>
      <c r="F77" t="n">
        <v>4</v>
      </c>
    </row>
    <row r="78">
      <c r="C78" t="n">
        <v>4</v>
      </c>
      <c r="D78" t="n">
        <v>1</v>
      </c>
      <c r="E78" t="n">
        <v>0</v>
      </c>
      <c r="F78" t="n">
        <v>1</v>
      </c>
    </row>
    <row r="79">
      <c r="C79" t="n">
        <v>9</v>
      </c>
      <c r="D79" t="n">
        <v>4</v>
      </c>
      <c r="E79" t="n">
        <v>1</v>
      </c>
      <c r="F79" t="n">
        <v>0</v>
      </c>
    </row>
    <row r="81">
      <c r="B81" s="3" t="inlineStr">
        <is>
          <t>Kappa</t>
        </is>
      </c>
      <c r="G81" s="4">
        <f>1-SUMPRODUCT(C76:F79,C52:F55)/SUMPRODUCT(C76:F79,C59:F62)</f>
        <v/>
      </c>
    </row>
    <row r="84">
      <c r="B84" s="3" t="inlineStr">
        <is>
          <t>RETIRED — linear ordinal weights |i−j| — same caveat as above</t>
        </is>
      </c>
    </row>
    <row r="85">
      <c r="C85" t="n">
        <v>0</v>
      </c>
      <c r="D85" t="n">
        <v>1</v>
      </c>
      <c r="E85" t="n">
        <v>2</v>
      </c>
      <c r="F85" t="n">
        <v>3</v>
      </c>
    </row>
    <row r="86">
      <c r="C86" t="n">
        <v>1</v>
      </c>
      <c r="D86" t="n">
        <v>0</v>
      </c>
      <c r="E86" t="n">
        <v>1</v>
      </c>
      <c r="F86" t="n">
        <v>2</v>
      </c>
    </row>
    <row r="87">
      <c r="C87" t="n">
        <v>2</v>
      </c>
      <c r="D87" t="n">
        <v>1</v>
      </c>
      <c r="E87" t="n">
        <v>0</v>
      </c>
      <c r="F87" t="n">
        <v>1</v>
      </c>
    </row>
    <row r="88">
      <c r="C88" t="n">
        <v>3</v>
      </c>
      <c r="D88" t="n">
        <v>2</v>
      </c>
      <c r="E88" t="n">
        <v>1</v>
      </c>
      <c r="F88" t="n">
        <v>0</v>
      </c>
    </row>
    <row r="90">
      <c r="B90" s="3" t="inlineStr">
        <is>
          <t>Kappa</t>
        </is>
      </c>
      <c r="G90" s="4">
        <f>1-SUMPRODUCT(C85:F88,C52:F55)/SUMPRODUCT(C85:F88,C59:F62)</f>
        <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cols>
    <col width="8" customWidth="1" min="1" max="1"/>
    <col width="28" customWidth="1" min="2" max="2"/>
    <col width="12" customWidth="1" min="3" max="3"/>
    <col width="10" customWidth="1" min="4" max="4"/>
    <col width="14" customWidth="1" min="5" max="5"/>
    <col width="13" customWidth="1" min="6" max="6"/>
  </cols>
  <sheetData>
    <row r="1">
      <c r="A1" s="6" t="inlineStr">
        <is>
          <t>Code</t>
        </is>
      </c>
      <c r="B1" s="6" t="inlineStr">
        <is>
          <t>Report ID</t>
        </is>
      </c>
      <c r="C1" s="6" t="inlineStr">
        <is>
          <t>Human rows</t>
        </is>
      </c>
      <c r="D1" s="6" t="inlineStr">
        <is>
          <t>AI rows</t>
        </is>
      </c>
      <c r="E1" s="6" t="inlineStr">
        <is>
          <t>Matched chunks</t>
        </is>
      </c>
      <c r="F1" s="6" t="inlineStr">
        <is>
          <t>Coded by both</t>
        </is>
      </c>
    </row>
    <row r="2">
      <c r="A2" t="inlineStr">
        <is>
          <t>R1</t>
        </is>
      </c>
      <c r="B2" t="inlineStr">
        <is>
          <t>363466802_2021</t>
        </is>
      </c>
      <c r="C2" t="n">
        <v>403</v>
      </c>
      <c r="D2" t="n">
        <v>337</v>
      </c>
      <c r="E2" t="n">
        <v>337</v>
      </c>
      <c r="F2" t="n">
        <v>161</v>
      </c>
    </row>
    <row r="3">
      <c r="A3" t="inlineStr">
        <is>
          <t>R2</t>
        </is>
      </c>
      <c r="B3" t="inlineStr">
        <is>
          <t>382023395_2022</t>
        </is>
      </c>
      <c r="C3" t="n">
        <v>393</v>
      </c>
      <c r="D3" t="n">
        <v>335</v>
      </c>
      <c r="E3" t="n">
        <v>333</v>
      </c>
      <c r="F3" t="n">
        <v>113</v>
      </c>
    </row>
    <row r="4">
      <c r="A4" t="inlineStr">
        <is>
          <t>R3</t>
        </is>
      </c>
      <c r="B4" t="inlineStr">
        <is>
          <t>25-1650208_2021</t>
        </is>
      </c>
      <c r="C4" t="n">
        <v>160</v>
      </c>
      <c r="D4" t="n">
        <v>114</v>
      </c>
      <c r="E4" t="n">
        <v>114</v>
      </c>
      <c r="F4" t="n">
        <v>32</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B2:J91"/>
  <sheetViews>
    <sheetView workbookViewId="0">
      <selection activeCell="A1" sqref="A1"/>
    </sheetView>
  </sheetViews>
  <sheetFormatPr baseColWidth="8" defaultRowHeight="15"/>
  <cols>
    <col width="3" customWidth="1" min="1" max="1"/>
    <col width="36" customWidth="1" min="2" max="2"/>
    <col width="11" customWidth="1" min="3" max="3"/>
    <col width="11" customWidth="1" min="4" max="4"/>
    <col width="11" customWidth="1" min="5" max="5"/>
    <col width="11" customWidth="1" min="6" max="6"/>
    <col width="12" customWidth="1" min="7" max="7"/>
  </cols>
  <sheetData>
    <row r="2">
      <c r="B2" s="1" t="inlineStr">
        <is>
          <t>Pooled chunk-level agreement — all reports combined</t>
        </is>
      </c>
    </row>
    <row r="3" ht="28" customHeight="1">
      <c r="B3" s="2" t="inlineStr">
        <is>
          <t>Confusion matrix is the SUM of each report’s own "Agreement" sheet matrix (live cross-sheet formulas), not a separately hardcoded pooled count — so it stays correct if any report’s chunk data changes. N = 306 chunks coded by both coders, pooled across 3 reports.</t>
        </is>
      </c>
    </row>
    <row r="5">
      <c r="B5" s="3" t="inlineStr">
        <is>
          <t>A. Full sample (pooled across all reports)</t>
        </is>
      </c>
    </row>
    <row r="6">
      <c r="C6" s="6" t="inlineStr">
        <is>
          <t>AI: PS</t>
        </is>
      </c>
      <c r="D6" s="6" t="inlineStr">
        <is>
          <t>AI: DS</t>
        </is>
      </c>
      <c r="E6" s="6" t="inlineStr">
        <is>
          <t>AI: PPG</t>
        </is>
      </c>
      <c r="F6" s="6" t="inlineStr">
        <is>
          <t>AI: SC</t>
        </is>
      </c>
      <c r="G6" s="6" t="inlineStr">
        <is>
          <t>Row total</t>
        </is>
      </c>
    </row>
    <row r="7">
      <c r="B7" s="4" t="inlineStr">
        <is>
          <t>Human: PS</t>
        </is>
      </c>
      <c r="C7">
        <f>'R1 Agreement'!C9+'R2 Agreement'!C9+'R3 Agreement'!C9</f>
        <v/>
      </c>
      <c r="D7">
        <f>'R1 Agreement'!D9+'R2 Agreement'!D9+'R3 Agreement'!D9</f>
        <v/>
      </c>
      <c r="E7">
        <f>'R1 Agreement'!E9+'R2 Agreement'!E9+'R3 Agreement'!E9</f>
        <v/>
      </c>
      <c r="F7">
        <f>'R1 Agreement'!F9+'R2 Agreement'!F9+'R3 Agreement'!F9</f>
        <v/>
      </c>
      <c r="G7">
        <f>SUM(C7:F7)</f>
        <v/>
      </c>
    </row>
    <row r="8">
      <c r="B8" s="4" t="inlineStr">
        <is>
          <t>Human: DS</t>
        </is>
      </c>
      <c r="C8">
        <f>'R1 Agreement'!C10+'R2 Agreement'!C10+'R3 Agreement'!C10</f>
        <v/>
      </c>
      <c r="D8">
        <f>'R1 Agreement'!D10+'R2 Agreement'!D10+'R3 Agreement'!D10</f>
        <v/>
      </c>
      <c r="E8">
        <f>'R1 Agreement'!E10+'R2 Agreement'!E10+'R3 Agreement'!E10</f>
        <v/>
      </c>
      <c r="F8">
        <f>'R1 Agreement'!F10+'R2 Agreement'!F10+'R3 Agreement'!F10</f>
        <v/>
      </c>
      <c r="G8">
        <f>SUM(C8:F8)</f>
        <v/>
      </c>
    </row>
    <row r="9">
      <c r="B9" s="4" t="inlineStr">
        <is>
          <t>Human: PPG</t>
        </is>
      </c>
      <c r="C9">
        <f>'R1 Agreement'!C11+'R2 Agreement'!C11+'R3 Agreement'!C11</f>
        <v/>
      </c>
      <c r="D9">
        <f>'R1 Agreement'!D11+'R2 Agreement'!D11+'R3 Agreement'!D11</f>
        <v/>
      </c>
      <c r="E9">
        <f>'R1 Agreement'!E11+'R2 Agreement'!E11+'R3 Agreement'!E11</f>
        <v/>
      </c>
      <c r="F9">
        <f>'R1 Agreement'!F11+'R2 Agreement'!F11+'R3 Agreement'!F11</f>
        <v/>
      </c>
      <c r="G9">
        <f>SUM(C9:F9)</f>
        <v/>
      </c>
    </row>
    <row r="10">
      <c r="B10" s="4" t="inlineStr">
        <is>
          <t>Human: SC</t>
        </is>
      </c>
      <c r="C10">
        <f>'R1 Agreement'!C12+'R2 Agreement'!C12+'R3 Agreement'!C12</f>
        <v/>
      </c>
      <c r="D10">
        <f>'R1 Agreement'!D12+'R2 Agreement'!D12+'R3 Agreement'!D12</f>
        <v/>
      </c>
      <c r="E10">
        <f>'R1 Agreement'!E12+'R2 Agreement'!E12+'R3 Agreement'!E12</f>
        <v/>
      </c>
      <c r="F10">
        <f>'R1 Agreement'!F12+'R2 Agreement'!F12+'R3 Agreement'!F12</f>
        <v/>
      </c>
      <c r="G10">
        <f>SUM(C10:F10)</f>
        <v/>
      </c>
    </row>
    <row r="11">
      <c r="B11" s="3" t="inlineStr">
        <is>
          <t>Col total</t>
        </is>
      </c>
      <c r="C11">
        <f>SUM(C7:C10)</f>
        <v/>
      </c>
      <c r="D11">
        <f>SUM(D7:D10)</f>
        <v/>
      </c>
      <c r="E11">
        <f>SUM(E7:E10)</f>
        <v/>
      </c>
      <c r="F11">
        <f>SUM(F7:F10)</f>
        <v/>
      </c>
      <c r="G11">
        <f>SUM(G7:G10)</f>
        <v/>
      </c>
    </row>
    <row r="13">
      <c r="B13" s="4" t="inlineStr">
        <is>
          <t>Expected under independence</t>
        </is>
      </c>
    </row>
    <row r="14">
      <c r="C14">
        <f>$G7*C$11/$G$11</f>
        <v/>
      </c>
      <c r="D14">
        <f>$G7*D$11/$G$11</f>
        <v/>
      </c>
      <c r="E14">
        <f>$G7*E$11/$G$11</f>
        <v/>
      </c>
      <c r="F14">
        <f>$G7*F$11/$G$11</f>
        <v/>
      </c>
    </row>
    <row r="15">
      <c r="C15">
        <f>$G8*C$11/$G$11</f>
        <v/>
      </c>
      <c r="D15">
        <f>$G8*D$11/$G$11</f>
        <v/>
      </c>
      <c r="E15">
        <f>$G8*E$11/$G$11</f>
        <v/>
      </c>
      <c r="F15">
        <f>$G8*F$11/$G$11</f>
        <v/>
      </c>
    </row>
    <row r="16">
      <c r="C16">
        <f>$G9*C$11/$G$11</f>
        <v/>
      </c>
      <c r="D16">
        <f>$G9*D$11/$G$11</f>
        <v/>
      </c>
      <c r="E16">
        <f>$G9*E$11/$G$11</f>
        <v/>
      </c>
      <c r="F16">
        <f>$G9*F$11/$G$11</f>
        <v/>
      </c>
    </row>
    <row r="17">
      <c r="C17">
        <f>$G10*C$11/$G$11</f>
        <v/>
      </c>
      <c r="D17">
        <f>$G10*D$11/$G$11</f>
        <v/>
      </c>
      <c r="E17">
        <f>$G10*E$11/$G$11</f>
        <v/>
      </c>
      <c r="F17">
        <f>$G10*F$11/$G$11</f>
        <v/>
      </c>
    </row>
    <row r="19">
      <c r="B19" s="4" t="inlineStr">
        <is>
          <t>Raw agreement</t>
        </is>
      </c>
      <c r="G19" s="7">
        <f>(C7+D8+E9+F10)/G11</f>
        <v/>
      </c>
    </row>
    <row r="21">
      <c r="B21" s="3" t="inlineStr">
        <is>
          <t>PRIMARY — standard (nominal, unweighted) Cohen’s kappa</t>
        </is>
      </c>
    </row>
    <row r="22">
      <c r="C22" t="n">
        <v>0</v>
      </c>
      <c r="D22" t="n">
        <v>1</v>
      </c>
      <c r="E22" t="n">
        <v>1</v>
      </c>
      <c r="F22" t="n">
        <v>1</v>
      </c>
    </row>
    <row r="23">
      <c r="C23" t="n">
        <v>1</v>
      </c>
      <c r="D23" t="n">
        <v>0</v>
      </c>
      <c r="E23" t="n">
        <v>1</v>
      </c>
      <c r="F23" t="n">
        <v>1</v>
      </c>
    </row>
    <row r="24">
      <c r="C24" t="n">
        <v>1</v>
      </c>
      <c r="D24" t="n">
        <v>1</v>
      </c>
      <c r="E24" t="n">
        <v>0</v>
      </c>
      <c r="F24" t="n">
        <v>1</v>
      </c>
    </row>
    <row r="25">
      <c r="C25" t="n">
        <v>1</v>
      </c>
      <c r="D25" t="n">
        <v>1</v>
      </c>
      <c r="E25" t="n">
        <v>1</v>
      </c>
      <c r="F25" t="n">
        <v>0</v>
      </c>
    </row>
    <row r="27">
      <c r="B27" s="3" t="inlineStr">
        <is>
          <t>Kappa</t>
        </is>
      </c>
      <c r="G27" s="8">
        <f>1-SUMPRODUCT(C22:F25,C7:F10)/SUMPRODUCT(C22:F25,C14:F17)</f>
        <v/>
      </c>
    </row>
    <row r="30">
      <c r="B30" s="3" t="inlineStr">
        <is>
          <t>RETIRED — quadratic ordinal weights (no theoretical basis; kept for comparison)</t>
        </is>
      </c>
    </row>
    <row r="31">
      <c r="C31" t="n">
        <v>0</v>
      </c>
      <c r="D31" t="n">
        <v>1</v>
      </c>
      <c r="E31" t="n">
        <v>4</v>
      </c>
      <c r="F31" t="n">
        <v>9</v>
      </c>
    </row>
    <row r="32">
      <c r="C32" t="n">
        <v>1</v>
      </c>
      <c r="D32" t="n">
        <v>0</v>
      </c>
      <c r="E32" t="n">
        <v>1</v>
      </c>
      <c r="F32" t="n">
        <v>4</v>
      </c>
    </row>
    <row r="33">
      <c r="C33" t="n">
        <v>4</v>
      </c>
      <c r="D33" t="n">
        <v>1</v>
      </c>
      <c r="E33" t="n">
        <v>0</v>
      </c>
      <c r="F33" t="n">
        <v>1</v>
      </c>
    </row>
    <row r="34">
      <c r="C34" t="n">
        <v>9</v>
      </c>
      <c r="D34" t="n">
        <v>4</v>
      </c>
      <c r="E34" t="n">
        <v>1</v>
      </c>
      <c r="F34" t="n">
        <v>0</v>
      </c>
    </row>
    <row r="36">
      <c r="B36" s="3" t="inlineStr">
        <is>
          <t>Kappa</t>
        </is>
      </c>
      <c r="G36" s="4">
        <f>1-SUMPRODUCT(C31:F34,C7:F10)/SUMPRODUCT(C31:F34,C14:F17)</f>
        <v/>
      </c>
    </row>
    <row r="39">
      <c r="B39" s="3" t="inlineStr">
        <is>
          <t>RETIRED — linear ordinal weights (same caveat)</t>
        </is>
      </c>
    </row>
    <row r="40">
      <c r="C40" t="n">
        <v>0</v>
      </c>
      <c r="D40" t="n">
        <v>1</v>
      </c>
      <c r="E40" t="n">
        <v>2</v>
      </c>
      <c r="F40" t="n">
        <v>3</v>
      </c>
    </row>
    <row r="41">
      <c r="C41" t="n">
        <v>1</v>
      </c>
      <c r="D41" t="n">
        <v>0</v>
      </c>
      <c r="E41" t="n">
        <v>1</v>
      </c>
      <c r="F41" t="n">
        <v>2</v>
      </c>
    </row>
    <row r="42">
      <c r="C42" t="n">
        <v>2</v>
      </c>
      <c r="D42" t="n">
        <v>1</v>
      </c>
      <c r="E42" t="n">
        <v>0</v>
      </c>
      <c r="F42" t="n">
        <v>1</v>
      </c>
    </row>
    <row r="43">
      <c r="C43" t="n">
        <v>3</v>
      </c>
      <c r="D43" t="n">
        <v>2</v>
      </c>
      <c r="E43" t="n">
        <v>1</v>
      </c>
      <c r="F43" t="n">
        <v>0</v>
      </c>
    </row>
    <row r="45">
      <c r="B45" s="3" t="inlineStr">
        <is>
          <t>Kappa</t>
        </is>
      </c>
      <c r="G45" s="4">
        <f>1-SUMPRODUCT(C40:F43,C7:F10)/SUMPRODUCT(C40:F43,C14:F17)</f>
        <v/>
      </c>
    </row>
    <row r="48">
      <c r="B48" s="3" t="inlineStr">
        <is>
          <t>B. Sensitivity — ties excluded (pooled)</t>
        </is>
      </c>
    </row>
    <row r="49">
      <c r="C49" s="6" t="inlineStr">
        <is>
          <t>AI: PS</t>
        </is>
      </c>
      <c r="D49" s="6" t="inlineStr">
        <is>
          <t>AI: DS</t>
        </is>
      </c>
      <c r="E49" s="6" t="inlineStr">
        <is>
          <t>AI: PPG</t>
        </is>
      </c>
      <c r="F49" s="6" t="inlineStr">
        <is>
          <t>AI: SC</t>
        </is>
      </c>
      <c r="G49" s="6" t="inlineStr">
        <is>
          <t>Row total</t>
        </is>
      </c>
    </row>
    <row r="50">
      <c r="B50" s="4" t="inlineStr">
        <is>
          <t>Human: PS</t>
        </is>
      </c>
      <c r="C50">
        <f>'R1 Agreement'!C52+'R2 Agreement'!C52+'R3 Agreement'!C52</f>
        <v/>
      </c>
      <c r="D50">
        <f>'R1 Agreement'!D52+'R2 Agreement'!D52+'R3 Agreement'!D52</f>
        <v/>
      </c>
      <c r="E50">
        <f>'R1 Agreement'!E52+'R2 Agreement'!E52+'R3 Agreement'!E52</f>
        <v/>
      </c>
      <c r="F50">
        <f>'R1 Agreement'!F52+'R2 Agreement'!F52+'R3 Agreement'!F52</f>
        <v/>
      </c>
      <c r="G50">
        <f>SUM(C50:F50)</f>
        <v/>
      </c>
    </row>
    <row r="51">
      <c r="B51" s="4" t="inlineStr">
        <is>
          <t>Human: DS</t>
        </is>
      </c>
      <c r="C51">
        <f>'R1 Agreement'!C53+'R2 Agreement'!C53+'R3 Agreement'!C53</f>
        <v/>
      </c>
      <c r="D51">
        <f>'R1 Agreement'!D53+'R2 Agreement'!D53+'R3 Agreement'!D53</f>
        <v/>
      </c>
      <c r="E51">
        <f>'R1 Agreement'!E53+'R2 Agreement'!E53+'R3 Agreement'!E53</f>
        <v/>
      </c>
      <c r="F51">
        <f>'R1 Agreement'!F53+'R2 Agreement'!F53+'R3 Agreement'!F53</f>
        <v/>
      </c>
      <c r="G51">
        <f>SUM(C51:F51)</f>
        <v/>
      </c>
    </row>
    <row r="52">
      <c r="B52" s="4" t="inlineStr">
        <is>
          <t>Human: PPG</t>
        </is>
      </c>
      <c r="C52">
        <f>'R1 Agreement'!C54+'R2 Agreement'!C54+'R3 Agreement'!C54</f>
        <v/>
      </c>
      <c r="D52">
        <f>'R1 Agreement'!D54+'R2 Agreement'!D54+'R3 Agreement'!D54</f>
        <v/>
      </c>
      <c r="E52">
        <f>'R1 Agreement'!E54+'R2 Agreement'!E54+'R3 Agreement'!E54</f>
        <v/>
      </c>
      <c r="F52">
        <f>'R1 Agreement'!F54+'R2 Agreement'!F54+'R3 Agreement'!F54</f>
        <v/>
      </c>
      <c r="G52">
        <f>SUM(C52:F52)</f>
        <v/>
      </c>
    </row>
    <row r="53">
      <c r="B53" s="4" t="inlineStr">
        <is>
          <t>Human: SC</t>
        </is>
      </c>
      <c r="C53">
        <f>'R1 Agreement'!C55+'R2 Agreement'!C55+'R3 Agreement'!C55</f>
        <v/>
      </c>
      <c r="D53">
        <f>'R1 Agreement'!D55+'R2 Agreement'!D55+'R3 Agreement'!D55</f>
        <v/>
      </c>
      <c r="E53">
        <f>'R1 Agreement'!E55+'R2 Agreement'!E55+'R3 Agreement'!E55</f>
        <v/>
      </c>
      <c r="F53">
        <f>'R1 Agreement'!F55+'R2 Agreement'!F55+'R3 Agreement'!F55</f>
        <v/>
      </c>
      <c r="G53">
        <f>SUM(C53:F53)</f>
        <v/>
      </c>
    </row>
    <row r="54">
      <c r="B54" s="3" t="inlineStr">
        <is>
          <t>Col total</t>
        </is>
      </c>
      <c r="C54">
        <f>SUM(C50:C53)</f>
        <v/>
      </c>
      <c r="D54">
        <f>SUM(D50:D53)</f>
        <v/>
      </c>
      <c r="E54">
        <f>SUM(E50:E53)</f>
        <v/>
      </c>
      <c r="F54">
        <f>SUM(F50:F53)</f>
        <v/>
      </c>
      <c r="G54">
        <f>SUM(G50:G53)</f>
        <v/>
      </c>
    </row>
    <row r="56">
      <c r="B56" s="4" t="inlineStr">
        <is>
          <t>Expected under independence</t>
        </is>
      </c>
    </row>
    <row r="57">
      <c r="C57">
        <f>$G50*C$54/$G$54</f>
        <v/>
      </c>
      <c r="D57">
        <f>$G50*D$54/$G$54</f>
        <v/>
      </c>
      <c r="E57">
        <f>$G50*E$54/$G$54</f>
        <v/>
      </c>
      <c r="F57">
        <f>$G50*F$54/$G$54</f>
        <v/>
      </c>
    </row>
    <row r="58">
      <c r="C58">
        <f>$G51*C$54/$G$54</f>
        <v/>
      </c>
      <c r="D58">
        <f>$G51*D$54/$G$54</f>
        <v/>
      </c>
      <c r="E58">
        <f>$G51*E$54/$G$54</f>
        <v/>
      </c>
      <c r="F58">
        <f>$G51*F$54/$G$54</f>
        <v/>
      </c>
    </row>
    <row r="59">
      <c r="C59">
        <f>$G52*C$54/$G$54</f>
        <v/>
      </c>
      <c r="D59">
        <f>$G52*D$54/$G$54</f>
        <v/>
      </c>
      <c r="E59">
        <f>$G52*E$54/$G$54</f>
        <v/>
      </c>
      <c r="F59">
        <f>$G52*F$54/$G$54</f>
        <v/>
      </c>
    </row>
    <row r="60">
      <c r="C60">
        <f>$G53*C$54/$G$54</f>
        <v/>
      </c>
      <c r="D60">
        <f>$G53*D$54/$G$54</f>
        <v/>
      </c>
      <c r="E60">
        <f>$G53*E$54/$G$54</f>
        <v/>
      </c>
      <c r="F60">
        <f>$G53*F$54/$G$54</f>
        <v/>
      </c>
    </row>
    <row r="62">
      <c r="B62" s="4" t="inlineStr">
        <is>
          <t>Raw agreement</t>
        </is>
      </c>
      <c r="G62" s="7">
        <f>(C50+D51+E52+F53)/G54</f>
        <v/>
      </c>
    </row>
    <row r="64">
      <c r="B64" s="3" t="inlineStr">
        <is>
          <t>PRIMARY — standard (nominal, unweighted) Cohen’s kappa</t>
        </is>
      </c>
    </row>
    <row r="65">
      <c r="C65" t="n">
        <v>0</v>
      </c>
      <c r="D65" t="n">
        <v>1</v>
      </c>
      <c r="E65" t="n">
        <v>1</v>
      </c>
      <c r="F65" t="n">
        <v>1</v>
      </c>
    </row>
    <row r="66">
      <c r="C66" t="n">
        <v>1</v>
      </c>
      <c r="D66" t="n">
        <v>0</v>
      </c>
      <c r="E66" t="n">
        <v>1</v>
      </c>
      <c r="F66" t="n">
        <v>1</v>
      </c>
    </row>
    <row r="67">
      <c r="C67" t="n">
        <v>1</v>
      </c>
      <c r="D67" t="n">
        <v>1</v>
      </c>
      <c r="E67" t="n">
        <v>0</v>
      </c>
      <c r="F67" t="n">
        <v>1</v>
      </c>
    </row>
    <row r="68">
      <c r="C68" t="n">
        <v>1</v>
      </c>
      <c r="D68" t="n">
        <v>1</v>
      </c>
      <c r="E68" t="n">
        <v>1</v>
      </c>
      <c r="F68" t="n">
        <v>0</v>
      </c>
    </row>
    <row r="70">
      <c r="B70" s="3" t="inlineStr">
        <is>
          <t>Kappa</t>
        </is>
      </c>
      <c r="G70" s="8">
        <f>1-SUMPRODUCT(C65:F68,C50:F53)/SUMPRODUCT(C65:F68,C57:F60)</f>
        <v/>
      </c>
    </row>
    <row r="73">
      <c r="B73" s="3" t="inlineStr">
        <is>
          <t>RETIRED — quadratic ordinal weights (no theoretical basis; kept for comparison)</t>
        </is>
      </c>
    </row>
    <row r="74">
      <c r="C74" t="n">
        <v>0</v>
      </c>
      <c r="D74" t="n">
        <v>1</v>
      </c>
      <c r="E74" t="n">
        <v>4</v>
      </c>
      <c r="F74" t="n">
        <v>9</v>
      </c>
    </row>
    <row r="75">
      <c r="C75" t="n">
        <v>1</v>
      </c>
      <c r="D75" t="n">
        <v>0</v>
      </c>
      <c r="E75" t="n">
        <v>1</v>
      </c>
      <c r="F75" t="n">
        <v>4</v>
      </c>
    </row>
    <row r="76">
      <c r="C76" t="n">
        <v>4</v>
      </c>
      <c r="D76" t="n">
        <v>1</v>
      </c>
      <c r="E76" t="n">
        <v>0</v>
      </c>
      <c r="F76" t="n">
        <v>1</v>
      </c>
    </row>
    <row r="77">
      <c r="C77" t="n">
        <v>9</v>
      </c>
      <c r="D77" t="n">
        <v>4</v>
      </c>
      <c r="E77" t="n">
        <v>1</v>
      </c>
      <c r="F77" t="n">
        <v>0</v>
      </c>
    </row>
    <row r="79">
      <c r="B79" s="3" t="inlineStr">
        <is>
          <t>Kappa</t>
        </is>
      </c>
      <c r="G79" s="4">
        <f>1-SUMPRODUCT(C74:F77,C50:F53)/SUMPRODUCT(C74:F77,C57:F60)</f>
        <v/>
      </c>
    </row>
    <row r="82">
      <c r="B82" s="3" t="inlineStr">
        <is>
          <t>RETIRED — linear ordinal weights (same caveat)</t>
        </is>
      </c>
    </row>
    <row r="83">
      <c r="C83" t="n">
        <v>0</v>
      </c>
      <c r="D83" t="n">
        <v>1</v>
      </c>
      <c r="E83" t="n">
        <v>2</v>
      </c>
      <c r="F83" t="n">
        <v>3</v>
      </c>
    </row>
    <row r="84">
      <c r="C84" t="n">
        <v>1</v>
      </c>
      <c r="D84" t="n">
        <v>0</v>
      </c>
      <c r="E84" t="n">
        <v>1</v>
      </c>
      <c r="F84" t="n">
        <v>2</v>
      </c>
    </row>
    <row r="85">
      <c r="C85" t="n">
        <v>2</v>
      </c>
      <c r="D85" t="n">
        <v>1</v>
      </c>
      <c r="E85" t="n">
        <v>0</v>
      </c>
      <c r="F85" t="n">
        <v>1</v>
      </c>
    </row>
    <row r="86">
      <c r="C86" t="n">
        <v>3</v>
      </c>
      <c r="D86" t="n">
        <v>2</v>
      </c>
      <c r="E86" t="n">
        <v>1</v>
      </c>
      <c r="F86" t="n">
        <v>0</v>
      </c>
    </row>
    <row r="88">
      <c r="B88" s="3" t="inlineStr">
        <is>
          <t>Kappa</t>
        </is>
      </c>
      <c r="G88" s="4">
        <f>1-SUMPRODUCT(C83:F86,C50:F53)/SUMPRODUCT(C83:F86,C57:F60)</f>
        <v/>
      </c>
    </row>
    <row r="91">
      <c r="B91" s="9" t="inlineStr">
        <is>
          <t>Interpretation guide (Landis &amp; Koch, 1977): &lt;0 poor, 0.00–0.20 slight, 0.21–0.40 fair, 0.41–0.60 moderate, 0.61–0.80 substantial, 0.81–1.00 almost perfect.</t>
        </is>
      </c>
    </row>
  </sheetData>
  <mergeCells count="1">
    <mergeCell ref="B3:J3"/>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B2:L12"/>
  <sheetViews>
    <sheetView workbookViewId="0">
      <selection activeCell="A1" sqref="A1"/>
    </sheetView>
  </sheetViews>
  <sheetFormatPr baseColWidth="8" defaultRowHeight="15"/>
  <cols>
    <col width="3" customWidth="1" min="1" max="1"/>
    <col width="2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2">
      <c r="B2" s="1" t="inlineStr">
        <is>
          <t>Alternative agreement measure — chunk-flexible vicinity (permutation-based)</t>
        </is>
      </c>
    </row>
    <row r="3" ht="56" customHeight="1">
      <c r="B3" s="2" t="inlineStr">
        <is>
          <t>A chunk is a "flexible match" if the two coders’ dominant picks agree, OR either coder’s dominant pick is in the OTHER coder’s own chunk-level top-2 set (points-derived, per chunk, no global category order assumed). Because this uses both coders’ per-chunk rankings jointly, there is no closed-form chance-correction formula; chance is estimated by permutation (randomly re-pairing AI chunks against human chunks many times, holding each side’s own per-chunk data fixed). kappa_flexible = (observed − permutation chance) / (1 − permutation chance). The sanity-check columns apply the identical permutation to STRICT matching, which should closely reproduce the closed-form standard kappa.</t>
        </is>
      </c>
    </row>
    <row r="6">
      <c r="B6" s="6" t="inlineStr">
        <is>
          <t>Report</t>
        </is>
      </c>
      <c r="C6" s="6" t="inlineStr">
        <is>
          <t>N</t>
        </is>
      </c>
      <c r="D6" s="6" t="inlineStr">
        <is>
          <t># permutations</t>
        </is>
      </c>
      <c r="E6" s="6" t="inlineStr">
        <is>
          <t>seed</t>
        </is>
      </c>
      <c r="F6" s="6" t="inlineStr">
        <is>
          <t>Observed flexible rate</t>
        </is>
      </c>
      <c r="G6" s="6" t="inlineStr">
        <is>
          <t>Permutation chance rate</t>
        </is>
      </c>
      <c r="H6" s="6" t="inlineStr">
        <is>
          <t>kappa_flexible</t>
        </is>
      </c>
      <c r="I6" s="6" t="inlineStr">
        <is>
          <t># flexible-only chunks</t>
        </is>
      </c>
      <c r="J6" s="6" t="inlineStr">
        <is>
          <t>Sanity: permutation strict chance</t>
        </is>
      </c>
      <c r="K6" s="6" t="inlineStr">
        <is>
          <t>Sanity: kappa via permutation</t>
        </is>
      </c>
      <c r="L6" s="6" t="inlineStr">
        <is>
          <t>Sanity: kappa closed-form</t>
        </is>
      </c>
    </row>
    <row r="7">
      <c r="B7" s="4" t="inlineStr">
        <is>
          <t>363466802_2021</t>
        </is>
      </c>
      <c r="C7" t="n">
        <v>161</v>
      </c>
      <c r="D7" t="n">
        <v>3000</v>
      </c>
      <c r="E7" t="n">
        <v>0</v>
      </c>
      <c r="F7" s="7" t="n">
        <v>0.9565217391304348</v>
      </c>
      <c r="G7" s="7" t="n">
        <v>0.6570476190476191</v>
      </c>
      <c r="H7" s="3" t="n">
        <v>0.8732236214578076</v>
      </c>
      <c r="I7" t="n">
        <v>37</v>
      </c>
      <c r="J7" s="7" t="n">
        <v>0.3972339544513457</v>
      </c>
      <c r="K7" t="n">
        <v>0.5466036491536602</v>
      </c>
      <c r="L7" t="n">
        <v>0.5472614558701349</v>
      </c>
    </row>
    <row r="8">
      <c r="B8" s="4" t="inlineStr">
        <is>
          <t>382023395_2022</t>
        </is>
      </c>
      <c r="C8" t="n">
        <v>113</v>
      </c>
      <c r="D8" t="n">
        <v>3000</v>
      </c>
      <c r="E8" t="n">
        <v>0</v>
      </c>
      <c r="F8" s="7" t="n">
        <v>0.9646017699115044</v>
      </c>
      <c r="G8" s="7" t="n">
        <v>0.6010855457227138</v>
      </c>
      <c r="H8" s="3" t="n">
        <v>0.9112636062470421</v>
      </c>
      <c r="I8" t="n">
        <v>37</v>
      </c>
      <c r="J8" s="7" t="n">
        <v>0.2760117994100295</v>
      </c>
      <c r="K8" t="n">
        <v>0.4988428566772059</v>
      </c>
      <c r="L8" t="n">
        <v>0.4991351351351351</v>
      </c>
    </row>
    <row r="9">
      <c r="B9" s="4" t="inlineStr">
        <is>
          <t>25-1650208_2021</t>
        </is>
      </c>
      <c r="C9" t="n">
        <v>32</v>
      </c>
      <c r="D9" t="n">
        <v>3000</v>
      </c>
      <c r="E9" t="n">
        <v>0</v>
      </c>
      <c r="F9" s="7" t="n">
        <v>0.96875</v>
      </c>
      <c r="G9" s="7" t="n">
        <v>0.6358333333333334</v>
      </c>
      <c r="H9" s="3" t="n">
        <v>0.914187643020595</v>
      </c>
      <c r="I9" t="n">
        <v>11</v>
      </c>
      <c r="J9" s="7" t="n">
        <v>0.30659375</v>
      </c>
      <c r="K9" t="n">
        <v>0.4591914912794628</v>
      </c>
      <c r="L9" t="n">
        <v>0.4568599717114569</v>
      </c>
    </row>
    <row r="10">
      <c r="B10" s="3" t="inlineStr">
        <is>
          <t>POOLED (all reports)</t>
        </is>
      </c>
      <c r="C10" s="3" t="n">
        <v>306</v>
      </c>
      <c r="D10" s="3" t="n">
        <v>3000</v>
      </c>
      <c r="E10" s="3" t="n">
        <v>0</v>
      </c>
      <c r="F10" s="10" t="n">
        <v>0.9607843137254902</v>
      </c>
      <c r="G10" s="10" t="n">
        <v>0.5844074074074074</v>
      </c>
      <c r="H10" s="8" t="n">
        <v>0.9056391115398125</v>
      </c>
      <c r="I10" s="3" t="n">
        <v>85</v>
      </c>
      <c r="J10" s="10" t="n">
        <v>0.2802058823529411</v>
      </c>
      <c r="K10" s="3" t="n">
        <v>0.5596053700903945</v>
      </c>
      <c r="L10" s="3" t="n">
        <v>0.5593592731699351</v>
      </c>
    </row>
    <row r="12">
      <c r="B12" s="9" t="inlineStr">
        <is>
          <t>Sanity check reads: the permutation-based strict kappa (col. K) should closely match the closed-form standard kappa from the Agreement sheets (col. L) — confirms the permutation procedure itself is unbiased.</t>
        </is>
      </c>
    </row>
  </sheetData>
  <mergeCells count="1">
    <mergeCell ref="B3:L3"/>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B2:P12"/>
  <sheetViews>
    <sheetView workbookViewId="0">
      <selection activeCell="A1" sqref="A1"/>
    </sheetView>
  </sheetViews>
  <sheetFormatPr baseColWidth="8" defaultRowHeight="15"/>
  <cols>
    <col width="3" customWidth="1" min="1" max="1"/>
    <col width="20" customWidth="1" min="2" max="2"/>
    <col width="15" customWidth="1" min="3" max="3"/>
    <col width="15" customWidth="1" min="4" max="4"/>
    <col width="12" customWidth="1" min="5" max="5"/>
    <col width="12"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2" customWidth="1" min="16" max="16"/>
  </cols>
  <sheetData>
    <row r="2">
      <c r="B2" s="1" t="inlineStr">
        <is>
          <t>Report-level logic profile — ALL coded chunks, independent of chunk matching</t>
        </is>
      </c>
    </row>
    <row r="3" ht="42" customHeight="1">
      <c r="B3" s="2" t="inlineStr">
        <is>
          <t>Unlike the Agreement sheets (restricted to chunks coded by BOTH coders), this uses every row either coder coded in their own raw file, so each coder’s overall document-level logic-frequency profile is not constrained by what the other coder happened to also code. TVD = total variation distance between the human and AI proportion vectors (0.5×Σ|p−q|); cosine = cosine similarity between them.</t>
        </is>
      </c>
    </row>
    <row r="6">
      <c r="B6" s="6" t="inlineStr">
        <is>
          <t>Report</t>
        </is>
      </c>
      <c r="C6" s="6" t="inlineStr">
        <is>
          <t>Human rows coded</t>
        </is>
      </c>
      <c r="D6" s="6" t="inlineStr">
        <is>
          <t>Human rows total</t>
        </is>
      </c>
      <c r="E6" s="6" t="inlineStr">
        <is>
          <t>AI rows coded</t>
        </is>
      </c>
      <c r="F6" s="6" t="inlineStr">
        <is>
          <t>AI rows total</t>
        </is>
      </c>
      <c r="G6" s="6" t="inlineStr">
        <is>
          <t>Human % PS</t>
        </is>
      </c>
      <c r="H6" s="6" t="inlineStr">
        <is>
          <t>Human % DS</t>
        </is>
      </c>
      <c r="I6" s="6" t="inlineStr">
        <is>
          <t>Human % PPG</t>
        </is>
      </c>
      <c r="J6" s="6" t="inlineStr">
        <is>
          <t>Human % SC</t>
        </is>
      </c>
      <c r="K6" s="6" t="inlineStr">
        <is>
          <t>AI % PS</t>
        </is>
      </c>
      <c r="L6" s="6" t="inlineStr">
        <is>
          <t>AI % DS</t>
        </is>
      </c>
      <c r="M6" s="6" t="inlineStr">
        <is>
          <t>AI % PPG</t>
        </is>
      </c>
      <c r="N6" s="6" t="inlineStr">
        <is>
          <t>AI % SC</t>
        </is>
      </c>
      <c r="O6" s="6" t="inlineStr">
        <is>
          <t>TVD</t>
        </is>
      </c>
      <c r="P6" s="6" t="inlineStr">
        <is>
          <t>Cosine sim.</t>
        </is>
      </c>
    </row>
    <row r="7">
      <c r="B7" s="4" t="inlineStr">
        <is>
          <t>363466802_2021</t>
        </is>
      </c>
      <c r="C7" t="n">
        <v>174</v>
      </c>
      <c r="D7" t="n">
        <v>403</v>
      </c>
      <c r="E7" t="n">
        <v>254</v>
      </c>
      <c r="F7" t="n">
        <v>337</v>
      </c>
      <c r="G7" s="7" t="n">
        <v>0.2307692307692308</v>
      </c>
      <c r="H7" s="7" t="n">
        <v>0.005128205128205128</v>
      </c>
      <c r="I7" s="7" t="n">
        <v>0.2205128205128205</v>
      </c>
      <c r="J7" s="7" t="n">
        <v>0.5435897435897435</v>
      </c>
      <c r="K7" s="7" t="n">
        <v>0.2949946751863685</v>
      </c>
      <c r="L7" s="7" t="n">
        <v>0.05750798722044728</v>
      </c>
      <c r="M7" s="7" t="n">
        <v>0.2768903088391906</v>
      </c>
      <c r="N7" s="7" t="n">
        <v>0.3706070287539936</v>
      </c>
      <c r="O7" s="3" t="n">
        <v>0.17298271483575</v>
      </c>
      <c r="P7" t="n">
        <v>0.951443175329549</v>
      </c>
    </row>
    <row r="8">
      <c r="B8" s="4" t="inlineStr">
        <is>
          <t>382023395_2022</t>
        </is>
      </c>
      <c r="C8" t="n">
        <v>118</v>
      </c>
      <c r="D8" t="n">
        <v>393</v>
      </c>
      <c r="E8" t="n">
        <v>272</v>
      </c>
      <c r="F8" t="n">
        <v>335</v>
      </c>
      <c r="G8" s="7" t="n">
        <v>0.1712062256809339</v>
      </c>
      <c r="H8" s="7" t="n">
        <v>0.1750972762645914</v>
      </c>
      <c r="I8" s="7" t="n">
        <v>0.5058365758754864</v>
      </c>
      <c r="J8" s="7" t="n">
        <v>0.1478599221789883</v>
      </c>
      <c r="K8" s="7" t="n">
        <v>0.3665791776027997</v>
      </c>
      <c r="L8" s="7" t="n">
        <v>0.1863517060367454</v>
      </c>
      <c r="M8" s="7" t="n">
        <v>0.2817147856517935</v>
      </c>
      <c r="N8" s="7" t="n">
        <v>0.1653543307086614</v>
      </c>
      <c r="O8" s="3" t="n">
        <v>0.2241217902236929</v>
      </c>
      <c r="P8" t="n">
        <v>0.8595904343501505</v>
      </c>
    </row>
    <row r="9">
      <c r="B9" s="4" t="inlineStr">
        <is>
          <t>25-1650208_2021</t>
        </is>
      </c>
      <c r="C9" t="n">
        <v>32</v>
      </c>
      <c r="D9" t="n">
        <v>160</v>
      </c>
      <c r="E9" t="n">
        <v>103</v>
      </c>
      <c r="F9" t="n">
        <v>114</v>
      </c>
      <c r="G9" s="7" t="n">
        <v>0.2535211267605634</v>
      </c>
      <c r="H9" s="7" t="n">
        <v>0.2676056338028169</v>
      </c>
      <c r="I9" s="7" t="n">
        <v>0.4788732394366197</v>
      </c>
      <c r="J9" s="7" t="n">
        <v>0</v>
      </c>
      <c r="K9" s="7" t="n">
        <v>0.5384615384615384</v>
      </c>
      <c r="L9" s="7" t="n">
        <v>0.2564102564102564</v>
      </c>
      <c r="M9" s="7" t="n">
        <v>0.1645299145299145</v>
      </c>
      <c r="N9" s="7" t="n">
        <v>0.0405982905982906</v>
      </c>
      <c r="O9" s="3" t="n">
        <v>0.3255387022992656</v>
      </c>
      <c r="P9" t="n">
        <v>0.7577542940903986</v>
      </c>
    </row>
    <row r="10">
      <c r="B10" s="3" t="inlineStr">
        <is>
          <t>POOLED (all reports)</t>
        </is>
      </c>
      <c r="C10" s="3" t="n">
        <v>324</v>
      </c>
      <c r="D10" s="3" t="n">
        <v>956</v>
      </c>
      <c r="E10" s="3" t="n">
        <v>629</v>
      </c>
      <c r="F10" s="3" t="n">
        <v>786</v>
      </c>
      <c r="G10" s="10" t="n">
        <v>0.2117</v>
      </c>
      <c r="H10" s="10" t="n">
        <v>0.0919</v>
      </c>
      <c r="I10" s="10" t="n">
        <v>0.3482</v>
      </c>
      <c r="J10" s="10" t="n">
        <v>0.3482</v>
      </c>
      <c r="K10" s="10" t="n">
        <v>0.3718</v>
      </c>
      <c r="L10" s="10" t="n">
        <v>0.1518</v>
      </c>
      <c r="M10" s="10" t="n">
        <v>0.2584</v>
      </c>
      <c r="N10" s="10" t="n">
        <v>0.218</v>
      </c>
      <c r="O10" s="8" t="n">
        <v>0.2199</v>
      </c>
      <c r="P10" s="3" t="n">
        <v>0.9056999999999999</v>
      </c>
    </row>
    <row r="12">
      <c r="B12" s="9" t="inlineStr">
        <is>
          <t>Important caveat: these document-level proportions (restricted to each coder’s own coded rows) can look different from the chunk-level dominant-logic confusion matrix in the Agreement sheets, which is restricted to chunks coded by BOTH coders — this is not a bug (see methodology.md §6 for the worked example: AI’s SC share here reflects chunks where SC scored secondary, but never dominant, points).</t>
        </is>
      </c>
    </row>
  </sheetData>
  <mergeCells count="1">
    <mergeCell ref="B3:L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2026-10-31T15:24:02Z</dcterms:created>
  <dcterms:modified xsi:type="dcterms:W3CDTF">2026-10-31T15:24:03Z</dcterms:modified>
</cp:coreProperties>
</file>